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38b0\AC\Temp\"/>
    </mc:Choice>
  </mc:AlternateContent>
  <xr:revisionPtr revIDLastSave="0" documentId="8_{EFAC1669-F48C-4C07-821A-0608D1B9AD87}" xr6:coauthVersionLast="47" xr6:coauthVersionMax="47" xr10:uidLastSave="{00000000-0000-0000-0000-000000000000}"/>
  <bookViews>
    <workbookView xWindow="-60" yWindow="-60" windowWidth="15480" windowHeight="11640" tabRatio="522" firstSheet="4" activeTab="4" xr2:uid="{00000000-000D-0000-FFFF-FFFF00000000}"/>
  </bookViews>
  <sheets>
    <sheet name="Release Plan" sheetId="7" r:id="rId1"/>
    <sheet name="Capacity" sheetId="22" r:id="rId2"/>
    <sheet name="Product Backlog" sheetId="8" r:id="rId3"/>
    <sheet name="PB Burndown" sheetId="20" r:id="rId4"/>
    <sheet name="Sp1" sheetId="19" r:id="rId5"/>
    <sheet name="Sprint Sheet Template" sheetId="16" r:id="rId6"/>
    <sheet name="Task Slips" sheetId="21" r:id="rId7"/>
  </sheets>
  <definedNames>
    <definedName name="_xlnm.Print_Area" localSheetId="6">'Task Slips'!#REF!</definedName>
    <definedName name="_xlnm.Print_Area" localSheetId="2">'Product Backlog'!$B:$H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4">'Sp1'!$D$11</definedName>
    <definedName name="DoneDays" localSheetId="5">'Sprint Sheet Template'!$D$11</definedName>
    <definedName name="DoneDays">#REF!</definedName>
    <definedName name="ImplementationDays" localSheetId="4">'Sp1'!$B$9</definedName>
    <definedName name="ImplementationDays" localSheetId="5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Backlog'!$B$4:$H$165</definedName>
    <definedName name="RealizedSpeed">OFFSET('PB Burndown'!$D$27,1,0,'PB Burndown'!$G$3,1)</definedName>
    <definedName name="RealValues" localSheetId="4">OFFSET('Sp1'!$F$10,0,0,1,'Sp1'!DoneDays)</definedName>
    <definedName name="RealValues" localSheetId="5">OFFSET('Sprint Sheet Template'!$F$10,0,0,1,'Sprint Sheet Template'!DoneDays)</definedName>
    <definedName name="Sprint">'Product Backlog'!$F$5:$F$165</definedName>
    <definedName name="SprintCount">'PB Burndown'!$G$3</definedName>
    <definedName name="SprintsInTrend">'PB Burndown'!$G$6</definedName>
    <definedName name="SprintTasks" localSheetId="4">'Sp1'!$A$14:$AD$63</definedName>
    <definedName name="SprintTasks">'Sprint Sheet Template'!$A$14:$AD$63</definedName>
    <definedName name="Status">'Product Backlog'!$D$5:$D$165</definedName>
    <definedName name="StoryName">'Product Backlog'!$C$5:$C$165</definedName>
    <definedName name="TaskRows" localSheetId="4">'Sp1'!$B$11</definedName>
    <definedName name="TaskRows" localSheetId="5">'Sprint Sheet Template'!$B$11</definedName>
    <definedName name="TaskRows">#REF!</definedName>
    <definedName name="TaskStatus" localSheetId="4">'Sp1'!$D$14:$D$59</definedName>
    <definedName name="TaskStatus">'Sprint Sheet Template'!$D$14:$D$58</definedName>
    <definedName name="TaskStoryID" localSheetId="4">'Sp1'!$B$14:$B$54</definedName>
    <definedName name="TaskStoryID">'Sprint Sheet Template'!$B$14:$B$53</definedName>
    <definedName name="TotalEffort" localSheetId="4">'Sp1'!$E$10</definedName>
    <definedName name="TotalEffort" localSheetId="5">'Sprint Sheet Template'!$E$10</definedName>
    <definedName name="TotalEffort">#REF!</definedName>
    <definedName name="TrendDays" localSheetId="4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19" l="1"/>
  <c r="F29" i="19"/>
  <c r="F28" i="19"/>
  <c r="F27" i="19"/>
  <c r="E18" i="7"/>
  <c r="D2" i="22"/>
  <c r="D3" i="22"/>
  <c r="D4" i="22"/>
  <c r="D5" i="22"/>
  <c r="D6" i="22"/>
  <c r="D15" i="7"/>
  <c r="G15" i="7" s="1"/>
  <c r="A29" i="21"/>
  <c r="A21" i="21"/>
  <c r="A13" i="21"/>
  <c r="A5" i="21"/>
  <c r="G4" i="20"/>
  <c r="D10" i="20"/>
  <c r="D11" i="20"/>
  <c r="B16" i="7"/>
  <c r="D16" i="7" s="1"/>
  <c r="G16" i="7" s="1"/>
  <c r="B28" i="20"/>
  <c r="F28" i="20"/>
  <c r="K28" i="20"/>
  <c r="G5" i="20"/>
  <c r="G6" i="20"/>
  <c r="G14" i="19"/>
  <c r="H14" i="19"/>
  <c r="I14" i="19"/>
  <c r="J14" i="19"/>
  <c r="B17" i="7"/>
  <c r="D17" i="7"/>
  <c r="G17" i="7" s="1"/>
  <c r="F17" i="7"/>
  <c r="B4" i="7"/>
  <c r="G17" i="20"/>
  <c r="P29" i="20"/>
  <c r="Q29" i="20"/>
  <c r="P30" i="20"/>
  <c r="Q30" i="20"/>
  <c r="P31" i="20"/>
  <c r="Q31" i="20"/>
  <c r="P32" i="20"/>
  <c r="Q32" i="20"/>
  <c r="P33" i="20"/>
  <c r="Q33" i="20"/>
  <c r="P34" i="20"/>
  <c r="Q34" i="20"/>
  <c r="P35" i="20"/>
  <c r="Q35" i="20"/>
  <c r="P36" i="20"/>
  <c r="Q36" i="20"/>
  <c r="P37" i="20"/>
  <c r="Q37" i="20"/>
  <c r="P38" i="20"/>
  <c r="Q38" i="20"/>
  <c r="P39" i="20"/>
  <c r="Q39" i="20"/>
  <c r="P40" i="20"/>
  <c r="Q40" i="20"/>
  <c r="P41" i="20"/>
  <c r="Q41" i="20"/>
  <c r="P42" i="20"/>
  <c r="Q42" i="20"/>
  <c r="P43" i="20"/>
  <c r="Q43" i="20"/>
  <c r="P44" i="20"/>
  <c r="Q44" i="20"/>
  <c r="P45" i="20"/>
  <c r="Q45" i="20"/>
  <c r="P46" i="20"/>
  <c r="Q46" i="20"/>
  <c r="P47" i="20"/>
  <c r="Q47" i="20"/>
  <c r="P48" i="20"/>
  <c r="Q48" i="20"/>
  <c r="P49" i="20"/>
  <c r="Q49" i="20"/>
  <c r="P50" i="20"/>
  <c r="Q50" i="20"/>
  <c r="P51" i="20"/>
  <c r="Q51" i="20"/>
  <c r="Q28" i="20"/>
  <c r="P28" i="20"/>
  <c r="D8" i="20"/>
  <c r="A18" i="20"/>
  <c r="A8" i="20"/>
  <c r="D15" i="20"/>
  <c r="D17" i="20"/>
  <c r="D16" i="20"/>
  <c r="E28" i="20"/>
  <c r="G28" i="20"/>
  <c r="H28" i="20"/>
  <c r="B11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D42" i="19"/>
  <c r="D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F63" i="19"/>
  <c r="G63" i="19"/>
  <c r="H63" i="19"/>
  <c r="I63" i="19"/>
  <c r="J63" i="19"/>
  <c r="D64" i="19"/>
  <c r="F64" i="19"/>
  <c r="G64" i="19"/>
  <c r="H64" i="19"/>
  <c r="I64" i="19"/>
  <c r="J64" i="19"/>
  <c r="D65" i="19"/>
  <c r="B11" i="16"/>
  <c r="F15" i="16"/>
  <c r="F16" i="16"/>
  <c r="F17" i="16"/>
  <c r="F18" i="16"/>
  <c r="F10" i="16"/>
  <c r="E9" i="7"/>
  <c r="E8" i="7"/>
  <c r="E7" i="7"/>
  <c r="E6" i="7"/>
  <c r="E5" i="7"/>
  <c r="C4" i="7"/>
  <c r="C5" i="7"/>
  <c r="D5" i="7"/>
  <c r="C6" i="7"/>
  <c r="D6" i="7"/>
  <c r="C7" i="7"/>
  <c r="D7" i="7"/>
  <c r="C8" i="7"/>
  <c r="D8" i="7"/>
  <c r="C9" i="7"/>
  <c r="D9" i="7"/>
  <c r="D4" i="7"/>
  <c r="E4" i="7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D16" i="16"/>
  <c r="AD17" i="16"/>
  <c r="AD18" i="16"/>
  <c r="AD10" i="16"/>
  <c r="AC16" i="16"/>
  <c r="AC17" i="16"/>
  <c r="AC18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D11" i="16"/>
  <c r="D13" i="16"/>
  <c r="F13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F12" i="16"/>
  <c r="E10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D15" i="16"/>
  <c r="D16" i="16"/>
  <c r="D17" i="16"/>
  <c r="D18" i="16"/>
  <c r="D19" i="16"/>
  <c r="F19" i="16"/>
  <c r="AC19" i="16"/>
  <c r="AD19" i="16"/>
  <c r="D20" i="16"/>
  <c r="F20" i="16"/>
  <c r="AC20" i="16"/>
  <c r="AD20" i="16"/>
  <c r="D21" i="16"/>
  <c r="F21" i="16"/>
  <c r="AC21" i="16"/>
  <c r="AD21" i="16"/>
  <c r="D22" i="16"/>
  <c r="F22" i="16"/>
  <c r="AC22" i="16"/>
  <c r="AD22" i="16"/>
  <c r="D23" i="16"/>
  <c r="F23" i="16"/>
  <c r="AC23" i="16"/>
  <c r="AD23" i="16"/>
  <c r="D24" i="16"/>
  <c r="F24" i="16"/>
  <c r="AC24" i="16"/>
  <c r="AD24" i="16"/>
  <c r="D25" i="16"/>
  <c r="F25" i="16"/>
  <c r="AC25" i="16"/>
  <c r="AD25" i="16"/>
  <c r="D26" i="16"/>
  <c r="F26" i="16"/>
  <c r="AC26" i="16"/>
  <c r="AD26" i="16"/>
  <c r="D27" i="16"/>
  <c r="F27" i="16"/>
  <c r="AC27" i="16"/>
  <c r="AD27" i="16"/>
  <c r="D28" i="16"/>
  <c r="F28" i="16"/>
  <c r="AC28" i="16"/>
  <c r="AD28" i="16"/>
  <c r="D29" i="16"/>
  <c r="F29" i="16"/>
  <c r="AC29" i="16"/>
  <c r="AD29" i="16"/>
  <c r="D30" i="16"/>
  <c r="F30" i="16"/>
  <c r="AC30" i="16"/>
  <c r="AD30" i="16"/>
  <c r="D31" i="16"/>
  <c r="F31" i="16"/>
  <c r="AC31" i="16"/>
  <c r="AD31" i="16"/>
  <c r="D32" i="16"/>
  <c r="F32" i="16"/>
  <c r="AC32" i="16"/>
  <c r="AD32" i="16"/>
  <c r="D33" i="16"/>
  <c r="F33" i="16"/>
  <c r="AC33" i="16"/>
  <c r="AD33" i="16"/>
  <c r="D34" i="16"/>
  <c r="F34" i="16"/>
  <c r="AC34" i="16"/>
  <c r="AD34" i="16"/>
  <c r="D35" i="16"/>
  <c r="F35" i="16"/>
  <c r="AC35" i="16"/>
  <c r="AD35" i="16"/>
  <c r="D36" i="16"/>
  <c r="F36" i="16"/>
  <c r="AC36" i="16"/>
  <c r="AD36" i="16"/>
  <c r="D37" i="16"/>
  <c r="F37" i="16"/>
  <c r="AC37" i="16"/>
  <c r="AD37" i="16"/>
  <c r="D38" i="16"/>
  <c r="F38" i="16"/>
  <c r="AC38" i="16"/>
  <c r="AD38" i="16"/>
  <c r="D39" i="16"/>
  <c r="F39" i="16"/>
  <c r="AC39" i="16"/>
  <c r="AD39" i="16"/>
  <c r="D40" i="16"/>
  <c r="F40" i="16"/>
  <c r="AC40" i="16"/>
  <c r="AD40" i="16"/>
  <c r="D41" i="16"/>
  <c r="F41" i="16"/>
  <c r="AC41" i="16"/>
  <c r="AD41" i="16"/>
  <c r="D42" i="16"/>
  <c r="F42" i="16"/>
  <c r="AC42" i="16"/>
  <c r="AD42" i="16"/>
  <c r="D43" i="16"/>
  <c r="F43" i="16"/>
  <c r="AC43" i="16"/>
  <c r="AD43" i="16"/>
  <c r="D44" i="16"/>
  <c r="F44" i="16"/>
  <c r="AC44" i="16"/>
  <c r="AD44" i="16"/>
  <c r="D45" i="16"/>
  <c r="F45" i="16"/>
  <c r="AC45" i="16"/>
  <c r="AD45" i="16"/>
  <c r="D46" i="16"/>
  <c r="F46" i="16"/>
  <c r="AC46" i="16"/>
  <c r="AD46" i="16"/>
  <c r="D47" i="16"/>
  <c r="F47" i="16"/>
  <c r="AC47" i="16"/>
  <c r="AD47" i="16"/>
  <c r="D48" i="16"/>
  <c r="F48" i="16"/>
  <c r="AC48" i="16"/>
  <c r="AD48" i="16"/>
  <c r="D49" i="16"/>
  <c r="F49" i="16"/>
  <c r="AC49" i="16"/>
  <c r="AD49" i="16"/>
  <c r="D50" i="16"/>
  <c r="F50" i="16"/>
  <c r="AC50" i="16"/>
  <c r="AD50" i="16"/>
  <c r="D51" i="16"/>
  <c r="F51" i="16"/>
  <c r="AC51" i="16"/>
  <c r="AD51" i="16"/>
  <c r="D52" i="16"/>
  <c r="F52" i="16"/>
  <c r="AC52" i="16"/>
  <c r="AD52" i="16"/>
  <c r="D53" i="16"/>
  <c r="F53" i="16"/>
  <c r="AC53" i="16"/>
  <c r="AD53" i="16"/>
  <c r="D54" i="16"/>
  <c r="F54" i="16"/>
  <c r="AC54" i="16"/>
  <c r="AD54" i="16"/>
  <c r="D55" i="16"/>
  <c r="F55" i="16"/>
  <c r="AC55" i="16"/>
  <c r="AD55" i="16"/>
  <c r="D56" i="16"/>
  <c r="F56" i="16"/>
  <c r="AC56" i="16"/>
  <c r="AD56" i="16"/>
  <c r="D57" i="16"/>
  <c r="F57" i="16"/>
  <c r="AC57" i="16"/>
  <c r="AD57" i="16"/>
  <c r="D58" i="16"/>
  <c r="F58" i="16"/>
  <c r="G58" i="16"/>
  <c r="H58" i="16"/>
  <c r="I58" i="16"/>
  <c r="J58" i="16"/>
  <c r="K58" i="16"/>
  <c r="L58" i="16"/>
  <c r="M58" i="16"/>
  <c r="N58" i="16"/>
  <c r="O58" i="16"/>
  <c r="P58" i="16"/>
  <c r="Q58" i="16"/>
  <c r="R58" i="16"/>
  <c r="S58" i="16"/>
  <c r="T58" i="16"/>
  <c r="U58" i="16"/>
  <c r="V58" i="16"/>
  <c r="W58" i="16"/>
  <c r="X58" i="16"/>
  <c r="Y58" i="16"/>
  <c r="Z58" i="16"/>
  <c r="AA58" i="16"/>
  <c r="AB58" i="16"/>
  <c r="AC58" i="16"/>
  <c r="AD58" i="16"/>
  <c r="D59" i="16"/>
  <c r="F59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Z59" i="16"/>
  <c r="AA59" i="16"/>
  <c r="AB59" i="16"/>
  <c r="AC59" i="16"/>
  <c r="AD59" i="16"/>
  <c r="D64" i="16"/>
  <c r="K14" i="19" l="1"/>
  <c r="J28" i="19"/>
  <c r="E10" i="19"/>
  <c r="F10" i="19"/>
  <c r="G29" i="19"/>
  <c r="H29" i="19" s="1"/>
  <c r="I29" i="19" s="1"/>
  <c r="J29" i="19" s="1"/>
  <c r="G28" i="19"/>
  <c r="H28" i="19" s="1"/>
  <c r="J10" i="19" s="1"/>
  <c r="G27" i="19"/>
  <c r="G10" i="19" s="1"/>
  <c r="D7" i="22"/>
  <c r="B29" i="20"/>
  <c r="L14" i="19" l="1"/>
  <c r="K62" i="19"/>
  <c r="K63" i="19"/>
  <c r="F11" i="19"/>
  <c r="G11" i="19"/>
  <c r="H11" i="19"/>
  <c r="I11" i="19"/>
  <c r="J11" i="19"/>
  <c r="K11" i="19"/>
  <c r="L11" i="19"/>
  <c r="H27" i="19"/>
  <c r="B30" i="20"/>
  <c r="E29" i="20"/>
  <c r="I29" i="20"/>
  <c r="H29" i="20" s="1"/>
  <c r="F29" i="20"/>
  <c r="M14" i="19" l="1"/>
  <c r="L62" i="19"/>
  <c r="L63" i="19"/>
  <c r="H10" i="19"/>
  <c r="I10" i="19"/>
  <c r="K29" i="20"/>
  <c r="G29" i="20"/>
  <c r="B31" i="20"/>
  <c r="E30" i="20"/>
  <c r="I30" i="20"/>
  <c r="F30" i="20"/>
  <c r="N14" i="19" l="1"/>
  <c r="M62" i="19"/>
  <c r="M63" i="19"/>
  <c r="M11" i="19"/>
  <c r="K30" i="20"/>
  <c r="G30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28" i="20"/>
  <c r="H30" i="20"/>
  <c r="B32" i="20"/>
  <c r="E31" i="20"/>
  <c r="I31" i="20"/>
  <c r="H31" i="20" s="1"/>
  <c r="F31" i="20"/>
  <c r="L28" i="20"/>
  <c r="M28" i="20" s="1"/>
  <c r="L29" i="20"/>
  <c r="M29" i="20" s="1"/>
  <c r="D12" i="20" s="1"/>
  <c r="L30" i="20"/>
  <c r="M30" i="20" s="1"/>
  <c r="L31" i="20"/>
  <c r="M31" i="20" s="1"/>
  <c r="L32" i="20"/>
  <c r="M32" i="20" s="1"/>
  <c r="L33" i="20"/>
  <c r="M33" i="20" s="1"/>
  <c r="L34" i="20"/>
  <c r="M34" i="20" s="1"/>
  <c r="L35" i="20"/>
  <c r="M35" i="20" s="1"/>
  <c r="L36" i="20"/>
  <c r="M36" i="20" s="1"/>
  <c r="L37" i="20"/>
  <c r="M37" i="20" s="1"/>
  <c r="L38" i="20"/>
  <c r="M38" i="20" s="1"/>
  <c r="L39" i="20"/>
  <c r="M39" i="20" s="1"/>
  <c r="L40" i="20"/>
  <c r="M40" i="20" s="1"/>
  <c r="L41" i="20"/>
  <c r="M41" i="20" s="1"/>
  <c r="L42" i="20"/>
  <c r="M42" i="20" s="1"/>
  <c r="L43" i="20"/>
  <c r="M43" i="20" s="1"/>
  <c r="L44" i="20"/>
  <c r="M44" i="20" s="1"/>
  <c r="L45" i="20"/>
  <c r="M45" i="20" s="1"/>
  <c r="L46" i="20"/>
  <c r="M46" i="20" s="1"/>
  <c r="L47" i="20"/>
  <c r="M47" i="20" s="1"/>
  <c r="L48" i="20"/>
  <c r="M48" i="20" s="1"/>
  <c r="L49" i="20"/>
  <c r="M49" i="20" s="1"/>
  <c r="L50" i="20"/>
  <c r="M50" i="20" s="1"/>
  <c r="L51" i="20"/>
  <c r="M51" i="20" s="1"/>
  <c r="O14" i="19" l="1"/>
  <c r="N62" i="19"/>
  <c r="N63" i="19"/>
  <c r="N11" i="19"/>
  <c r="G9" i="20"/>
  <c r="D22" i="20"/>
  <c r="K31" i="20"/>
  <c r="G31" i="20"/>
  <c r="B33" i="20"/>
  <c r="E32" i="20"/>
  <c r="I32" i="20"/>
  <c r="H32" i="20" s="1"/>
  <c r="F32" i="20"/>
  <c r="P14" i="19" l="1"/>
  <c r="O62" i="19"/>
  <c r="O63" i="19"/>
  <c r="O11" i="19"/>
  <c r="K32" i="20"/>
  <c r="G32" i="20"/>
  <c r="B34" i="20"/>
  <c r="E33" i="20"/>
  <c r="I33" i="20"/>
  <c r="H33" i="20" s="1"/>
  <c r="F33" i="20"/>
  <c r="Q14" i="19" l="1"/>
  <c r="P11" i="19"/>
  <c r="P62" i="19"/>
  <c r="P63" i="19"/>
  <c r="K33" i="20"/>
  <c r="G33" i="20"/>
  <c r="B35" i="20"/>
  <c r="E34" i="20"/>
  <c r="I34" i="20"/>
  <c r="H34" i="20" s="1"/>
  <c r="F34" i="20"/>
  <c r="R14" i="19" l="1"/>
  <c r="Q11" i="19"/>
  <c r="Q62" i="19"/>
  <c r="Q63" i="19"/>
  <c r="K34" i="20"/>
  <c r="G34" i="20"/>
  <c r="B36" i="20"/>
  <c r="E35" i="20"/>
  <c r="I35" i="20"/>
  <c r="H35" i="20" s="1"/>
  <c r="F35" i="20"/>
  <c r="S14" i="19" l="1"/>
  <c r="R11" i="19"/>
  <c r="R62" i="19"/>
  <c r="R63" i="19"/>
  <c r="K35" i="20"/>
  <c r="G35" i="20"/>
  <c r="B37" i="20"/>
  <c r="E36" i="20"/>
  <c r="I36" i="20"/>
  <c r="H36" i="20" s="1"/>
  <c r="F36" i="20"/>
  <c r="T14" i="19" l="1"/>
  <c r="S11" i="19"/>
  <c r="S62" i="19"/>
  <c r="S63" i="19"/>
  <c r="K36" i="20"/>
  <c r="G36" i="20"/>
  <c r="B38" i="20"/>
  <c r="E37" i="20"/>
  <c r="I37" i="20"/>
  <c r="H37" i="20" s="1"/>
  <c r="F37" i="20"/>
  <c r="U14" i="19" l="1"/>
  <c r="T11" i="19"/>
  <c r="T62" i="19"/>
  <c r="T63" i="19"/>
  <c r="K37" i="20"/>
  <c r="G37" i="20"/>
  <c r="B39" i="20"/>
  <c r="E38" i="20"/>
  <c r="I38" i="20"/>
  <c r="H38" i="20" s="1"/>
  <c r="F38" i="20"/>
  <c r="V14" i="19" l="1"/>
  <c r="U11" i="19"/>
  <c r="U62" i="19"/>
  <c r="U63" i="19"/>
  <c r="K38" i="20"/>
  <c r="G38" i="20"/>
  <c r="E39" i="20"/>
  <c r="B40" i="20"/>
  <c r="I39" i="20"/>
  <c r="H39" i="20" s="1"/>
  <c r="F39" i="20"/>
  <c r="G3" i="20"/>
  <c r="W14" i="19" l="1"/>
  <c r="V11" i="19"/>
  <c r="V62" i="19"/>
  <c r="V63" i="19"/>
  <c r="D21" i="20"/>
  <c r="D9" i="20"/>
  <c r="D20" i="20"/>
  <c r="D18" i="20"/>
  <c r="G20" i="20"/>
  <c r="G19" i="20"/>
  <c r="K39" i="20"/>
  <c r="G39" i="20"/>
  <c r="E40" i="20"/>
  <c r="B41" i="20"/>
  <c r="I40" i="20"/>
  <c r="H40" i="20" s="1"/>
  <c r="F40" i="20"/>
  <c r="X14" i="19" l="1"/>
  <c r="W11" i="19"/>
  <c r="W62" i="19"/>
  <c r="W63" i="19"/>
  <c r="K40" i="20"/>
  <c r="G40" i="20"/>
  <c r="E41" i="20"/>
  <c r="B42" i="20"/>
  <c r="I41" i="20"/>
  <c r="H41" i="20" s="1"/>
  <c r="F41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28" i="20"/>
  <c r="D24" i="20"/>
  <c r="D23" i="20"/>
  <c r="D19" i="20"/>
  <c r="Y14" i="19" l="1"/>
  <c r="X11" i="19"/>
  <c r="X62" i="19"/>
  <c r="X63" i="19"/>
  <c r="K41" i="20"/>
  <c r="G41" i="20"/>
  <c r="E42" i="20"/>
  <c r="B43" i="20"/>
  <c r="I42" i="20"/>
  <c r="H42" i="20" s="1"/>
  <c r="F42" i="20"/>
  <c r="Z14" i="19" l="1"/>
  <c r="Y11" i="19"/>
  <c r="Y62" i="19"/>
  <c r="Y63" i="19"/>
  <c r="K42" i="20"/>
  <c r="G42" i="20"/>
  <c r="E43" i="20"/>
  <c r="B44" i="20"/>
  <c r="I43" i="20"/>
  <c r="H43" i="20" s="1"/>
  <c r="F43" i="20"/>
  <c r="AA14" i="19" l="1"/>
  <c r="Z11" i="19"/>
  <c r="Z62" i="19"/>
  <c r="Z63" i="19"/>
  <c r="K43" i="20"/>
  <c r="G43" i="20"/>
  <c r="E44" i="20"/>
  <c r="B45" i="20"/>
  <c r="I44" i="20"/>
  <c r="H44" i="20" s="1"/>
  <c r="F44" i="20"/>
  <c r="AB14" i="19" l="1"/>
  <c r="AA11" i="19"/>
  <c r="AA62" i="19"/>
  <c r="AA63" i="19"/>
  <c r="K44" i="20"/>
  <c r="G44" i="20"/>
  <c r="E45" i="20"/>
  <c r="B46" i="20"/>
  <c r="I45" i="20"/>
  <c r="H45" i="20" s="1"/>
  <c r="F45" i="20"/>
  <c r="AC14" i="19" l="1"/>
  <c r="AB11" i="19"/>
  <c r="AB62" i="19"/>
  <c r="AB63" i="19"/>
  <c r="K45" i="20"/>
  <c r="G45" i="20"/>
  <c r="E46" i="20"/>
  <c r="B47" i="20"/>
  <c r="I46" i="20"/>
  <c r="H46" i="20" s="1"/>
  <c r="F46" i="20"/>
  <c r="AC39" i="19" l="1"/>
  <c r="AC38" i="19"/>
  <c r="AC26" i="19"/>
  <c r="AD14" i="19"/>
  <c r="AC40" i="19"/>
  <c r="AC37" i="19"/>
  <c r="AC18" i="19"/>
  <c r="AC20" i="19"/>
  <c r="AC24" i="19"/>
  <c r="AC25" i="19"/>
  <c r="AC29" i="19"/>
  <c r="AC30" i="19"/>
  <c r="AC31" i="19"/>
  <c r="AC32" i="19"/>
  <c r="AC33" i="19"/>
  <c r="AC34" i="19"/>
  <c r="AC35" i="19"/>
  <c r="AC11" i="19"/>
  <c r="AC36" i="19"/>
  <c r="AC41" i="19"/>
  <c r="AC42" i="19"/>
  <c r="AC43" i="19"/>
  <c r="AC44" i="19"/>
  <c r="AC45" i="19"/>
  <c r="AC46" i="19"/>
  <c r="AC47" i="19"/>
  <c r="AC48" i="19"/>
  <c r="AC49" i="19"/>
  <c r="AC50" i="19"/>
  <c r="AC51" i="19"/>
  <c r="AC52" i="19"/>
  <c r="AC53" i="19"/>
  <c r="AC54" i="19"/>
  <c r="AC55" i="19"/>
  <c r="AC56" i="19"/>
  <c r="AC57" i="19"/>
  <c r="AC58" i="19"/>
  <c r="AC59" i="19"/>
  <c r="AC60" i="19"/>
  <c r="AC61" i="19"/>
  <c r="AC62" i="19"/>
  <c r="AC63" i="19"/>
  <c r="K46" i="20"/>
  <c r="G46" i="20"/>
  <c r="E47" i="20"/>
  <c r="B48" i="20"/>
  <c r="I47" i="20"/>
  <c r="H47" i="20" s="1"/>
  <c r="F47" i="20"/>
  <c r="AC10" i="19" l="1"/>
  <c r="AD39" i="19"/>
  <c r="AD38" i="19"/>
  <c r="AD26" i="19"/>
  <c r="AD40" i="19"/>
  <c r="AD37" i="19"/>
  <c r="AD18" i="19"/>
  <c r="AD20" i="19"/>
  <c r="AD24" i="19"/>
  <c r="AD25" i="19"/>
  <c r="AD29" i="19"/>
  <c r="AD30" i="19"/>
  <c r="AD31" i="19"/>
  <c r="AD32" i="19"/>
  <c r="AD33" i="19"/>
  <c r="AD34" i="19"/>
  <c r="AD35" i="19"/>
  <c r="AD11" i="19"/>
  <c r="AD36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AD58" i="19"/>
  <c r="AD59" i="19"/>
  <c r="AD60" i="19"/>
  <c r="AD61" i="19"/>
  <c r="AD62" i="19"/>
  <c r="AD63" i="19"/>
  <c r="K47" i="20"/>
  <c r="G47" i="20"/>
  <c r="E48" i="20"/>
  <c r="B49" i="20"/>
  <c r="I48" i="20"/>
  <c r="H48" i="20" s="1"/>
  <c r="F48" i="20"/>
  <c r="AD10" i="19" l="1"/>
  <c r="D11" i="19" s="1"/>
  <c r="D13" i="19"/>
  <c r="F13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K48" i="20"/>
  <c r="G48" i="20"/>
  <c r="E49" i="20"/>
  <c r="B50" i="20"/>
  <c r="I49" i="20"/>
  <c r="H49" i="20" s="1"/>
  <c r="F49" i="20"/>
  <c r="K49" i="20" l="1"/>
  <c r="G49" i="20"/>
  <c r="E50" i="20"/>
  <c r="B51" i="20"/>
  <c r="I50" i="20"/>
  <c r="H50" i="20" s="1"/>
  <c r="F50" i="20"/>
  <c r="K50" i="20" l="1"/>
  <c r="G50" i="20"/>
  <c r="E51" i="20"/>
  <c r="I51" i="20"/>
  <c r="H51" i="20" s="1"/>
  <c r="F51" i="20"/>
  <c r="K51" i="20" l="1"/>
  <c r="G51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D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E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F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G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<sst xmlns="http://schemas.openxmlformats.org/spreadsheetml/2006/main" count="283" uniqueCount="171">
  <si>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</si>
  <si>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</si>
  <si>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</si>
  <si>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</si>
  <si>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</si>
  <si>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</si>
  <si>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</si>
  <si>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</si>
  <si>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</si>
  <si>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</si>
  <si>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</si>
  <si>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</si>
  <si>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</si>
  <si>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?</t>
  </si>
  <si>
    <t>Unplanned</t>
  </si>
  <si>
    <t>Unallocated stories</t>
  </si>
  <si>
    <t>Team Member</t>
  </si>
  <si>
    <t>Available days</t>
  </si>
  <si>
    <t>Available hours per day</t>
  </si>
  <si>
    <t>Total available hours</t>
  </si>
  <si>
    <t>Berk</t>
  </si>
  <si>
    <t>Hannah</t>
  </si>
  <si>
    <t>Alessia</t>
  </si>
  <si>
    <t>Julia</t>
  </si>
  <si>
    <t>Thorsten</t>
  </si>
  <si>
    <t>TOTAL</t>
  </si>
  <si>
    <t>Product Backlog</t>
  </si>
  <si>
    <t xml:space="preserve"> </t>
  </si>
  <si>
    <t>Epic</t>
  </si>
  <si>
    <t>Story ID</t>
  </si>
  <si>
    <t>Story name</t>
  </si>
  <si>
    <t>Priority</t>
  </si>
  <si>
    <t>Comments</t>
  </si>
  <si>
    <t>US1- As an Analyst I want to be able to analyze the data to understand it and to monitor it, so that a Recommender can be done.</t>
  </si>
  <si>
    <t>US1-1</t>
  </si>
  <si>
    <t>As an Analyst I want to obtain the data in order to analyze it</t>
  </si>
  <si>
    <t>Done</t>
  </si>
  <si>
    <t>US1-2</t>
  </si>
  <si>
    <t>As an Analyst I want a visual overview of the data in order to understand it</t>
  </si>
  <si>
    <t>Ongoing</t>
  </si>
  <si>
    <t>US2- As a Recommender Developer, I want to obtain the recommendations in batch, so that a Recommender can be done.</t>
  </si>
  <si>
    <t>US2-1</t>
  </si>
  <si>
    <t>As a Recommender, I want to clean the data in order to develop a recommender.</t>
  </si>
  <si>
    <t>Removed</t>
  </si>
  <si>
    <t>US2-2</t>
  </si>
  <si>
    <t>As a Recommender Developer, I want to develop a model, so that a Recommender can be done</t>
  </si>
  <si>
    <t>US3- As a Data Scientist, I want to be able to reproduce the experiments and results, so that a better version of a Recommender can be done.</t>
  </si>
  <si>
    <t>US3</t>
  </si>
  <si>
    <t>As a data scientist I want to have a Docker image of the models</t>
  </si>
  <si>
    <t>Planned</t>
  </si>
  <si>
    <t>US4- As a DevOps, I want to register and control the model versions, so that the Quality of the recommender can be tracked.</t>
  </si>
  <si>
    <t>US4</t>
  </si>
  <si>
    <t>As a DevOps, I want to use MLFlow to track the quality of the recommender</t>
  </si>
  <si>
    <t>US5- As a Data Scientist, I want to monitor the model performance and retrain if needed easily, so the Quality of the recommender can be Improved.</t>
  </si>
  <si>
    <t>US5</t>
  </si>
  <si>
    <t>As a Data scientist I want to have continuous integration, which automatically retrains the recommender with new data.</t>
  </si>
  <si>
    <t>US6- As a User, I want some movies recommendation for this evening Movie Session, so I can enjoy it.</t>
  </si>
  <si>
    <t>US6</t>
  </si>
  <si>
    <t>As a User, I want some movies recommendation for this evening Movie Session, so I can enjoy it.</t>
  </si>
  <si>
    <t>US7- As a User, I want a Web Application where i can search for recommendations, and I can store my preferences and ratings.</t>
  </si>
  <si>
    <t>US7-1</t>
  </si>
  <si>
    <t>As a User, I want a Web Application where i can search for recommendations</t>
  </si>
  <si>
    <t>US7-2</t>
  </si>
  <si>
    <t>As a User, I want a Web Application where I can store my preferences and ratings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</si>
  <si>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</si>
  <si>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</si>
  <si>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</si>
  <si>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</si>
  <si>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</si>
  <si>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</si>
  <si>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</si>
  <si>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</si>
  <si>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</si>
  <si>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</si>
  <si>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</si>
  <si>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</si>
  <si>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</si>
  <si>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</si>
  <si>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</si>
  <si>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</si>
  <si>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</si>
  <si>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</si>
  <si>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</si>
  <si>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</si>
  <si>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</si>
  <si>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</si>
  <si>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</si>
  <si>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</si>
  <si>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</si>
  <si>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</si>
  <si>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</si>
  <si>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</si>
  <si>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</si>
  <si>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</si>
  <si>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</si>
  <si>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</si>
  <si>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</si>
  <si>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</si>
  <si>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</si>
  <si>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</si>
  <si>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</si>
  <si>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</si>
  <si>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</si>
  <si>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</si>
  <si>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</si>
  <si>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</si>
  <si>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</si>
  <si>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</si>
  <si>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</si>
  <si>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</si>
  <si>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</si>
  <si>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</si>
  <si>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</si>
  <si>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</si>
  <si>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Day 1: 14.11.2022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</si>
  <si>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</si>
  <si>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</si>
  <si>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</si>
  <si>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</si>
  <si>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</si>
  <si>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</si>
  <si>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</si>
  <si>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</si>
  <si>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</si>
  <si>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</si>
  <si>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</si>
  <si>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</si>
  <si>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</si>
  <si>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Store data in GitHub (small file)</t>
  </si>
  <si>
    <t>Julia, Berk</t>
  </si>
  <si>
    <t>Merge data</t>
  </si>
  <si>
    <t>Look at the NaNs</t>
  </si>
  <si>
    <t>Thorsten, Berk</t>
  </si>
  <si>
    <t>Look at the categories</t>
  </si>
  <si>
    <t>Check correlations</t>
  </si>
  <si>
    <t>Hannah, Berk</t>
  </si>
  <si>
    <t>Look at the distribution (balance)</t>
  </si>
  <si>
    <t>Visualize the data summary</t>
  </si>
  <si>
    <t>Dealing with missing values</t>
  </si>
  <si>
    <t>Remove outliers</t>
  </si>
  <si>
    <t>Deal with categorical data (encode)</t>
  </si>
  <si>
    <t>Select relating/ relevant features</t>
  </si>
  <si>
    <t>Normalize the data</t>
  </si>
  <si>
    <t>Split into train, validation and test</t>
  </si>
  <si>
    <t>Select many models, train models and select the best</t>
  </si>
  <si>
    <t>Report the test accuracy</t>
  </si>
  <si>
    <t>Translate all tasks in Issues on Github</t>
  </si>
  <si>
    <t>Order the output of the explicit model and print the top 5 titles</t>
  </si>
  <si>
    <t>Save a trained model</t>
  </si>
  <si>
    <t>Update Documentation of Scrummaster</t>
  </si>
  <si>
    <t>Write Tests</t>
  </si>
  <si>
    <t>Update the SCRUMBAN</t>
  </si>
  <si>
    <t>Create a sketch to present user story 1 (obtaining data)</t>
  </si>
  <si>
    <t>Make slide about user story 1.2</t>
  </si>
  <si>
    <t>Make a slide about user story 2.1 (Removed)</t>
  </si>
  <si>
    <t>Make slide about user story 2.2</t>
  </si>
  <si>
    <t>Present GitHub</t>
  </si>
  <si>
    <t>Present Excel</t>
  </si>
  <si>
    <t>Present ScrumMaster Excel</t>
  </si>
  <si>
    <t>Story ID:</t>
  </si>
  <si>
    <t>Story:</t>
  </si>
  <si>
    <t>This is a sample story</t>
  </si>
  <si>
    <t>Task:</t>
  </si>
  <si>
    <t>Example task</t>
  </si>
  <si>
    <t>Initial 
Estimate</t>
  </si>
  <si>
    <t>Work 
Done</t>
  </si>
  <si>
    <t>Work 
Left</t>
  </si>
  <si>
    <t>Example task 2</t>
  </si>
  <si>
    <t>This is another sample story</t>
  </si>
  <si>
    <t>Example task 3</t>
  </si>
  <si>
    <t>&lt;Delete these example lines&gt;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</si>
</sst>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</font>
    <font>
      <sz val="10"/>
      <color rgb="FF000000"/>
      <name val="Arial"/>
      <charset val="1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top"/>
    </xf>
    <xf numFmtId="0" fontId="1" fillId="2" borderId="13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3" xfId="0" applyFont="1" applyFill="1" applyBorder="1" applyAlignment="1">
      <alignment horizontal="center"/>
    </xf>
    <xf numFmtId="0" fontId="1" fillId="2" borderId="13" xfId="0" applyFont="1" applyFill="1" applyBorder="1" applyAlignment="1">
      <alignment wrapText="1"/>
    </xf>
    <xf numFmtId="0" fontId="1" fillId="2" borderId="1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1" fillId="0" borderId="31" xfId="0" applyFont="1" applyBorder="1" applyAlignment="1">
      <alignment horizontal="center" vertical="top"/>
    </xf>
    <xf numFmtId="0" fontId="10" fillId="0" borderId="26" xfId="0" applyFont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0" fontId="11" fillId="0" borderId="0" xfId="0" applyFont="1"/>
    <xf numFmtId="0" fontId="12" fillId="0" borderId="0" xfId="0" applyFont="1" applyAlignment="1">
      <alignment wrapText="1"/>
    </xf>
    <xf numFmtId="0" fontId="0" fillId="0" borderId="0" xfId="0" applyAlignment="1">
      <alignment horizontal="center" vertical="top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</cellXfs>
  <cellStyles count="1">
    <cellStyle name="Normal" xfId="0" builtinId="0"/>
  </cellStyles>
  <dxfs count="4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0506329115"/>
          <c:y val="1.58228092594338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A-4287-A954-F8C7443398CE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0A-4287-A954-F8C7443398CE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0A-4287-A954-F8C7443398CE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0A-4287-A954-F8C7443398CE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7"/>
                <c:pt idx="0">
                  <c:v>137.66666666666669</c:v>
                </c:pt>
                <c:pt idx="1">
                  <c:v>112.66666666666669</c:v>
                </c:pt>
                <c:pt idx="2">
                  <c:v>87.666666666666686</c:v>
                </c:pt>
                <c:pt idx="3">
                  <c:v>62.666666666666686</c:v>
                </c:pt>
                <c:pt idx="4">
                  <c:v>37.666666666666686</c:v>
                </c:pt>
                <c:pt idx="5">
                  <c:v>12.666666666666686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0A-4287-A954-F8C7443398CE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0A-4287-A954-F8C744339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2117110304"/>
        <c:axId val="1"/>
      </c:lineChart>
      <c:catAx>
        <c:axId val="211711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10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45043238501"/>
          <c:y val="3.43840022609272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5"/>
                <c:pt idx="0">
                  <c:v>23</c:v>
                </c:pt>
                <c:pt idx="1">
                  <c:v>29</c:v>
                </c:pt>
                <c:pt idx="2">
                  <c:v>31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D-40CB-965E-C55AD440E9D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5"/>
                <c:pt idx="0">
                  <c:v>23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D-40CB-965E-C55AD440E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17108640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CD-40CB-965E-C55AD440E9D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CD-40CB-965E-C55AD440E9D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CD-40CB-965E-C55AD440E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108640"/>
        <c:axId val="1"/>
      </c:lineChart>
      <c:catAx>
        <c:axId val="211710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08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435518235365E-2"/>
          <c:y val="0.87392672413190053"/>
          <c:w val="0.852156911893721"/>
          <c:h val="0.106017340304525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43</c:v>
                </c:pt>
                <c:pt idx="1">
                  <c:v>45</c:v>
                </c:pt>
                <c:pt idx="2">
                  <c:v>40</c:v>
                </c:pt>
                <c:pt idx="3">
                  <c:v>24</c:v>
                </c:pt>
                <c:pt idx="4">
                  <c:v>21</c:v>
                </c:pt>
                <c:pt idx="5">
                  <c:v>12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0-4A84-824A-F43D54855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109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D0-4A84-824A-F43D54855B68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54.999999999999986</c:v>
                </c:pt>
                <c:pt idx="1">
                  <c:v>46.199999999999989</c:v>
                </c:pt>
                <c:pt idx="2">
                  <c:v>37.399999999999991</c:v>
                </c:pt>
                <c:pt idx="3">
                  <c:v>28.599999999999994</c:v>
                </c:pt>
                <c:pt idx="4">
                  <c:v>19.799999999999997</c:v>
                </c:pt>
                <c:pt idx="5">
                  <c:v>11</c:v>
                </c:pt>
                <c:pt idx="6">
                  <c:v>2.2000000000000028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D0-4A84-824A-F43D54855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109056"/>
        <c:axId val="1"/>
      </c:lineChart>
      <c:catAx>
        <c:axId val="2117109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0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C-4337-AF9A-E6A0C6DA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111552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C-4337-AF9A-E6A0C6DA3A9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C-4337-AF9A-E6A0C6DA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111552"/>
        <c:axId val="1"/>
      </c:lineChart>
      <c:catAx>
        <c:axId val="211711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115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409575</xdr:colOff>
          <xdr:row>0</xdr:row>
          <xdr:rowOff>95250</xdr:rowOff>
        </xdr:from>
        <xdr:to>
          <xdr:col>2</xdr:col>
          <xdr:colOff>1866900</xdr:colOff>
          <xdr:row>1</xdr:row>
          <xdr:rowOff>85725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848AC5B1-9C85-168A-C228-02ADEDAF1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47625</xdr:rowOff>
    </xdr:from>
    <xdr:to>
      <xdr:col>24</xdr:col>
      <xdr:colOff>542925</xdr:colOff>
      <xdr:row>19</xdr:row>
      <xdr:rowOff>142875</xdr:rowOff>
    </xdr:to>
    <xdr:graphicFrame macro="">
      <xdr:nvGraphicFramePr>
        <xdr:cNvPr id="18434" name="Chart 2">
          <a:extLst>
            <a:ext uri="{FF2B5EF4-FFF2-40B4-BE49-F238E27FC236}">
              <a16:creationId xmlns:a16="http://schemas.microsoft.com/office/drawing/2014/main" id="{34AB3C37-5DC1-4FCE-B033-7EEE2F74C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18449" name="Chart 17">
          <a:extLst>
            <a:ext uri="{FF2B5EF4-FFF2-40B4-BE49-F238E27FC236}">
              <a16:creationId xmlns:a16="http://schemas.microsoft.com/office/drawing/2014/main" id="{EEC6FEF9-9E93-C43F-D5D0-54922416C958}"/>
            </a:ext>
            <a:ext uri="{147F2762-F138-4A5C-976F-8EAC2B608ADB}">
              <a16:predDERef xmlns:a16="http://schemas.microsoft.com/office/drawing/2014/main" pred="{34AB3C37-5DC1-4FCE-B033-7EEE2F74C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7410" name="Chart 2">
          <a:extLst>
            <a:ext uri="{FF2B5EF4-FFF2-40B4-BE49-F238E27FC236}">
              <a16:creationId xmlns:a16="http://schemas.microsoft.com/office/drawing/2014/main" id="{E2220F9A-8D27-2B20-68B2-A9F1252FF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92BAE813-A53C-16C3-FFE5-8514FAA48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234E1654-EF34-78B1-6DD8-3D4439CBF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338" name="Chart 2">
          <a:extLst>
            <a:ext uri="{FF2B5EF4-FFF2-40B4-BE49-F238E27FC236}">
              <a16:creationId xmlns:a16="http://schemas.microsoft.com/office/drawing/2014/main" id="{37BFE937-EDFC-8D12-BF9A-C695793AD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AFD9339-5F20-0555-2266-EEA604A3F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188CAA53-FFF4-EB04-4F32-9CB61EB82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8"/>
  <sheetViews>
    <sheetView workbookViewId="0">
      <selection activeCell="G1" sqref="G1"/>
    </sheetView>
  </sheetViews>
  <sheetFormatPr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12.85546875" customWidth="1"/>
    <col min="7" max="7" width="13.7109375" style="2" customWidth="1"/>
    <col min="8" max="8" width="59.140625" customWidth="1"/>
    <col min="9" max="9" width="10.7109375" customWidth="1"/>
  </cols>
  <sheetData>
    <row r="1" spans="1:10" ht="18">
      <c r="A1" s="13" t="s">
        <v>0</v>
      </c>
    </row>
    <row r="3" spans="1:10">
      <c r="A3" s="7" t="s">
        <v>1</v>
      </c>
      <c r="B3" s="39" t="s">
        <v>2</v>
      </c>
      <c r="C3" s="40" t="s">
        <v>3</v>
      </c>
      <c r="D3" s="40" t="s">
        <v>4</v>
      </c>
      <c r="E3" s="39" t="s">
        <v>5</v>
      </c>
      <c r="F3" s="8" t="s">
        <v>6</v>
      </c>
      <c r="G3" s="39" t="s">
        <v>7</v>
      </c>
      <c r="H3" s="9" t="s">
        <v>8</v>
      </c>
      <c r="I3" s="1"/>
      <c r="J3" s="1"/>
    </row>
    <row r="4" spans="1:10">
      <c r="A4" s="10">
        <v>1</v>
      </c>
      <c r="B4" s="36">
        <f>IF(OR(B15="",A4=""),"",B15)</f>
        <v>44875</v>
      </c>
      <c r="C4" s="21">
        <f>IF(A4="","",SUMIF(I$15:I$17,A4,C$15:C$17))</f>
        <v>43</v>
      </c>
      <c r="D4" s="36">
        <f>IF(OR(B4="",C4=""),"",B4+C4-1)</f>
        <v>44917</v>
      </c>
      <c r="E4" s="18">
        <f>IF(A4="","",SUMIF(I$15:I$17,'Release Plan'!A4,E$15:E$17))</f>
        <v>0</v>
      </c>
      <c r="G4" s="41"/>
      <c r="H4" s="4"/>
    </row>
    <row r="5" spans="1:10">
      <c r="A5" s="11"/>
      <c r="B5" s="33"/>
      <c r="C5" s="18" t="str">
        <f>IF(A5="","",SUMIF(I$15:I$17,A5,C$15:C$17))</f>
        <v/>
      </c>
      <c r="D5" s="33" t="str">
        <f t="shared" ref="D5:D9" si="0">IF(OR(B5="",C5=""),"",B5+C5-1)</f>
        <v/>
      </c>
      <c r="E5" s="18" t="str">
        <f>IF(A5="","",SUMIF(I$15:I$17,'Release Plan'!A5,E$15:E$17))</f>
        <v/>
      </c>
      <c r="G5" s="42"/>
      <c r="H5" s="5"/>
    </row>
    <row r="6" spans="1:10">
      <c r="A6" s="11"/>
      <c r="B6" s="33"/>
      <c r="C6" s="18" t="str">
        <f>IF(A6="","",SUMIF(I$15:I$17,A6,C$15:C$17))</f>
        <v/>
      </c>
      <c r="D6" s="33" t="str">
        <f t="shared" si="0"/>
        <v/>
      </c>
      <c r="E6" s="18" t="str">
        <f>IF(A6="","",SUMIF(I$15:I$17,'Release Plan'!A6,E$15:E$17))</f>
        <v/>
      </c>
      <c r="G6" s="42"/>
      <c r="H6" s="5"/>
    </row>
    <row r="7" spans="1:10">
      <c r="A7" s="11"/>
      <c r="B7" s="33"/>
      <c r="C7" s="18" t="str">
        <f>IF(A7="","",SUMIF(I$15:I$17,A7,C$15:C$17))</f>
        <v/>
      </c>
      <c r="D7" s="33" t="str">
        <f t="shared" si="0"/>
        <v/>
      </c>
      <c r="E7" s="18" t="str">
        <f>IF(A7="","",SUMIF(I$15:I$17,'Release Plan'!A7,E$15:E$17))</f>
        <v/>
      </c>
      <c r="G7" s="42"/>
      <c r="H7" s="5"/>
    </row>
    <row r="8" spans="1:10">
      <c r="A8" s="11"/>
      <c r="B8" s="33"/>
      <c r="C8" s="18" t="str">
        <f>IF(A8="","",SUMIF(I$15:I$17,A8,C$15:C$17))</f>
        <v/>
      </c>
      <c r="D8" s="33" t="str">
        <f t="shared" si="0"/>
        <v/>
      </c>
      <c r="E8" s="18" t="str">
        <f>IF(A8="","",SUMIF(I$15:I$17,'Release Plan'!A8,E$15:E$17))</f>
        <v/>
      </c>
      <c r="G8" s="42"/>
      <c r="H8" s="5"/>
    </row>
    <row r="9" spans="1:10">
      <c r="A9" s="12"/>
      <c r="B9" s="34"/>
      <c r="C9" s="35" t="str">
        <f>IF(A9="","",SUMIF(I$15:I$17,A9,C$15:C$17))</f>
        <v/>
      </c>
      <c r="D9" s="34" t="str">
        <f t="shared" si="0"/>
        <v/>
      </c>
      <c r="E9" s="35" t="str">
        <f>IF(A9="","",SUMIF(I$15:I$17,'Release Plan'!A9,E$15:E$17))</f>
        <v/>
      </c>
      <c r="F9" s="3"/>
      <c r="G9" s="43"/>
      <c r="H9" s="6"/>
    </row>
    <row r="10" spans="1:10">
      <c r="A10" s="31" t="s">
        <v>9</v>
      </c>
    </row>
    <row r="12" spans="1:10" ht="18">
      <c r="A12" s="13" t="s">
        <v>10</v>
      </c>
    </row>
    <row r="14" spans="1:10">
      <c r="A14" s="7" t="s">
        <v>11</v>
      </c>
      <c r="B14" s="39" t="s">
        <v>2</v>
      </c>
      <c r="C14" s="39" t="s">
        <v>3</v>
      </c>
      <c r="D14" s="39" t="s">
        <v>4</v>
      </c>
      <c r="E14" s="39" t="s">
        <v>5</v>
      </c>
      <c r="F14" s="8" t="s">
        <v>6</v>
      </c>
      <c r="G14" s="39" t="s">
        <v>7</v>
      </c>
      <c r="H14" s="66" t="s">
        <v>8</v>
      </c>
      <c r="I14" s="45" t="s">
        <v>12</v>
      </c>
      <c r="J14" s="1"/>
    </row>
    <row r="15" spans="1:10">
      <c r="A15" s="18">
        <v>1</v>
      </c>
      <c r="B15" s="70">
        <v>44875</v>
      </c>
      <c r="C15" s="2">
        <v>16</v>
      </c>
      <c r="D15" s="22">
        <f>IF(AND(B15&lt;&gt;"",C15&lt;&gt;""),B15+C15-1,"")</f>
        <v>44890</v>
      </c>
      <c r="E15" s="18" t="s">
        <v>13</v>
      </c>
      <c r="F15" t="s">
        <v>14</v>
      </c>
      <c r="G15" s="92">
        <f>IF(D15&lt;&gt;"",D15-1,"")</f>
        <v>44889</v>
      </c>
      <c r="H15" s="23" t="s">
        <v>13</v>
      </c>
      <c r="I15" s="65">
        <v>1</v>
      </c>
    </row>
    <row r="16" spans="1:10">
      <c r="A16" s="18">
        <v>2</v>
      </c>
      <c r="B16" s="22">
        <f>IF(AND(B15&lt;&gt;"",C15&lt;&gt;"",C16&lt;&gt;""),B15+C15,"")</f>
        <v>44891</v>
      </c>
      <c r="C16" s="2">
        <v>14</v>
      </c>
      <c r="D16" s="22">
        <f>IF(AND(B16&lt;&gt;"",C16&lt;&gt;""),B16+C16-1,"")</f>
        <v>44904</v>
      </c>
      <c r="E16" s="18" t="s">
        <v>13</v>
      </c>
      <c r="F16" t="s">
        <v>14</v>
      </c>
      <c r="G16" s="92">
        <f>IF(D16&lt;&gt;"",D16-1,"")</f>
        <v>44903</v>
      </c>
      <c r="H16" s="24" t="s">
        <v>13</v>
      </c>
      <c r="I16" s="32">
        <v>1</v>
      </c>
    </row>
    <row r="17" spans="1:9">
      <c r="A17" s="18">
        <v>3</v>
      </c>
      <c r="B17" s="22">
        <f>IF(AND(B16&lt;&gt;"",C16&lt;&gt;"",C17&lt;&gt;""),B16+C16,"")</f>
        <v>44905</v>
      </c>
      <c r="C17" s="2">
        <v>13</v>
      </c>
      <c r="D17" s="22">
        <f>IF(AND(B17&lt;&gt;"",C17&lt;&gt;""),B17+C17-1,"")</f>
        <v>44917</v>
      </c>
      <c r="E17" s="18" t="s">
        <v>13</v>
      </c>
      <c r="F17" t="str">
        <f>IF(AND(OR(F16="Planned",F16="Ongoing"),C17&lt;&gt;""),"Planned","Unplanned")</f>
        <v>Unplanned</v>
      </c>
      <c r="G17" s="92">
        <f>IF(D17&lt;&gt;"",D17-1,"")</f>
        <v>44916</v>
      </c>
      <c r="H17" s="24" t="s">
        <v>13</v>
      </c>
      <c r="I17" s="32">
        <v>1</v>
      </c>
    </row>
    <row r="18" spans="1:9">
      <c r="A18" s="19"/>
      <c r="B18" s="19"/>
      <c r="C18" s="19"/>
      <c r="D18" s="20" t="s">
        <v>15</v>
      </c>
      <c r="E18" s="21">
        <f>SUMIF('Product Backlog'!F$8:F$105,"",'Product Backlog'!E$8:E$105)-SUMIF('Product Backlog'!D$8:D$105,"Removed",'Product Backlog'!E$8:E$105)</f>
        <v>0</v>
      </c>
      <c r="F18" s="19"/>
      <c r="G18" s="44"/>
      <c r="H18" s="19"/>
    </row>
  </sheetData>
  <phoneticPr fontId="2" type="noConversion"/>
  <conditionalFormatting sqref="E18 G4:H9 E5:E9 A4:D9">
    <cfRule type="expression" dxfId="47" priority="1" stopIfTrue="1">
      <formula>$F4="Planned"</formula>
    </cfRule>
    <cfRule type="expression" dxfId="46" priority="2" stopIfTrue="1">
      <formula>$F4="Ongoing"</formula>
    </cfRule>
  </conditionalFormatting>
  <conditionalFormatting sqref="F15:F17 F4:F9">
    <cfRule type="expression" dxfId="45" priority="3" stopIfTrue="1">
      <formula>$F4="Planned"</formula>
    </cfRule>
    <cfRule type="expression" dxfId="44" priority="4" stopIfTrue="1">
      <formula>$F4="Ongoing"</formula>
    </cfRule>
    <cfRule type="cellIs" dxfId="43" priority="5" stopIfTrue="1" operator="equal">
      <formula>"Unplanned"</formula>
    </cfRule>
  </conditionalFormatting>
  <conditionalFormatting sqref="E4 A15:E17 G15:H17">
    <cfRule type="expression" dxfId="42" priority="6" stopIfTrue="1">
      <formula>OR($F4="Planned",$F4="Unplanned")</formula>
    </cfRule>
    <cfRule type="expression" dxfId="41" priority="7" stopIfTrue="1">
      <formula>$F4="Ongoing"</formula>
    </cfRule>
  </conditionalFormatting>
  <dataValidations count="1">
    <dataValidation type="list" allowBlank="1" showInputMessage="1" showErrorMessage="1" sqref="F15:F17 F4:F9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4218-6022-4314-8DD7-BBF9963F7941}">
  <dimension ref="A1:D7"/>
  <sheetViews>
    <sheetView workbookViewId="0">
      <selection activeCell="D7" sqref="D7"/>
    </sheetView>
  </sheetViews>
  <sheetFormatPr defaultRowHeight="12.75"/>
  <cols>
    <col min="1" max="1" width="16.28515625" bestFit="1" customWidth="1"/>
    <col min="2" max="2" width="16.140625" bestFit="1" customWidth="1"/>
    <col min="3" max="3" width="25.5703125" bestFit="1" customWidth="1"/>
    <col min="4" max="4" width="22.85546875" bestFit="1" customWidth="1"/>
  </cols>
  <sheetData>
    <row r="1" spans="1:4" ht="15">
      <c r="A1" s="93" t="s">
        <v>16</v>
      </c>
      <c r="B1" s="93" t="s">
        <v>17</v>
      </c>
      <c r="C1" s="93" t="s">
        <v>18</v>
      </c>
      <c r="D1" s="93" t="s">
        <v>19</v>
      </c>
    </row>
    <row r="2" spans="1:4">
      <c r="A2" t="s">
        <v>20</v>
      </c>
      <c r="B2">
        <v>10</v>
      </c>
      <c r="C2">
        <v>4</v>
      </c>
      <c r="D2">
        <f>C2*B2</f>
        <v>40</v>
      </c>
    </row>
    <row r="3" spans="1:4">
      <c r="A3" t="s">
        <v>21</v>
      </c>
      <c r="B3">
        <v>9</v>
      </c>
      <c r="C3">
        <v>2</v>
      </c>
      <c r="D3">
        <f>C3*B3</f>
        <v>18</v>
      </c>
    </row>
    <row r="4" spans="1:4">
      <c r="A4" t="s">
        <v>22</v>
      </c>
      <c r="B4">
        <v>9</v>
      </c>
      <c r="C4">
        <v>2</v>
      </c>
      <c r="D4">
        <f>C4*B4</f>
        <v>18</v>
      </c>
    </row>
    <row r="5" spans="1:4">
      <c r="A5" t="s">
        <v>23</v>
      </c>
      <c r="B5">
        <v>9</v>
      </c>
      <c r="C5">
        <v>2</v>
      </c>
      <c r="D5">
        <f>C5*B5</f>
        <v>18</v>
      </c>
    </row>
    <row r="6" spans="1:4">
      <c r="A6" t="s">
        <v>24</v>
      </c>
      <c r="B6">
        <v>9</v>
      </c>
      <c r="C6">
        <v>2</v>
      </c>
      <c r="D6">
        <f>C6*B6</f>
        <v>18</v>
      </c>
    </row>
    <row r="7" spans="1:4">
      <c r="A7" t="s">
        <v>25</v>
      </c>
      <c r="D7">
        <f>SUM(D2:D6)</f>
        <v>112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55"/>
  <sheetViews>
    <sheetView workbookViewId="0">
      <pane ySplit="4" topLeftCell="A6" activePane="bottomLeft" state="frozen"/>
      <selection pane="bottomLeft" activeCell="D6" sqref="D6"/>
    </sheetView>
  </sheetViews>
  <sheetFormatPr defaultRowHeight="12.75"/>
  <cols>
    <col min="1" max="1" width="63.28515625" style="29" customWidth="1"/>
    <col min="2" max="2" width="9.140625" style="28"/>
    <col min="3" max="3" width="42" style="26" customWidth="1"/>
    <col min="4" max="4" width="10.85546875" style="28" customWidth="1"/>
    <col min="5" max="7" width="9.140625" style="28"/>
    <col min="8" max="8" width="39.5703125" style="26" customWidth="1"/>
    <col min="9" max="16384" width="9.140625" style="29"/>
  </cols>
  <sheetData>
    <row r="1" spans="1:8" ht="18">
      <c r="B1" s="46" t="s">
        <v>26</v>
      </c>
      <c r="D1" s="27" t="s">
        <v>27</v>
      </c>
    </row>
    <row r="2" spans="1:8">
      <c r="E2" s="69"/>
    </row>
    <row r="4" spans="1:8">
      <c r="A4" s="38" t="s">
        <v>28</v>
      </c>
      <c r="B4" s="37" t="s">
        <v>29</v>
      </c>
      <c r="C4" s="38" t="s">
        <v>30</v>
      </c>
      <c r="D4" s="37" t="s">
        <v>6</v>
      </c>
      <c r="E4" s="37" t="s">
        <v>5</v>
      </c>
      <c r="F4" s="37" t="s">
        <v>11</v>
      </c>
      <c r="G4" s="37" t="s">
        <v>31</v>
      </c>
      <c r="H4" s="38" t="s">
        <v>32</v>
      </c>
    </row>
    <row r="5" spans="1:8" ht="24">
      <c r="A5" s="95" t="s">
        <v>33</v>
      </c>
      <c r="B5" s="28" t="s">
        <v>34</v>
      </c>
      <c r="C5" s="26" t="s">
        <v>35</v>
      </c>
      <c r="D5" s="28" t="s">
        <v>36</v>
      </c>
      <c r="E5" s="28">
        <v>3</v>
      </c>
      <c r="F5" s="28">
        <v>1</v>
      </c>
      <c r="G5" s="28">
        <v>1</v>
      </c>
    </row>
    <row r="6" spans="1:8" ht="24">
      <c r="A6" s="95" t="s">
        <v>33</v>
      </c>
      <c r="B6" s="28" t="s">
        <v>37</v>
      </c>
      <c r="C6" s="26" t="s">
        <v>38</v>
      </c>
      <c r="D6" s="28" t="s">
        <v>39</v>
      </c>
      <c r="E6" s="28">
        <v>5</v>
      </c>
      <c r="F6" s="28">
        <v>1</v>
      </c>
      <c r="G6" s="28">
        <v>1</v>
      </c>
    </row>
    <row r="7" spans="1:8" ht="24">
      <c r="A7" s="95" t="s">
        <v>40</v>
      </c>
      <c r="B7" s="28" t="s">
        <v>41</v>
      </c>
      <c r="C7" s="26" t="s">
        <v>42</v>
      </c>
      <c r="D7" s="28" t="s">
        <v>43</v>
      </c>
      <c r="E7" s="28">
        <v>8</v>
      </c>
      <c r="F7" s="28">
        <v>1</v>
      </c>
      <c r="G7" s="28">
        <v>1</v>
      </c>
    </row>
    <row r="8" spans="1:8" ht="36" customHeight="1">
      <c r="A8" s="95" t="s">
        <v>40</v>
      </c>
      <c r="B8" s="28" t="s">
        <v>44</v>
      </c>
      <c r="C8" s="26" t="s">
        <v>45</v>
      </c>
      <c r="D8" s="28" t="s">
        <v>39</v>
      </c>
      <c r="E8" s="28">
        <v>5</v>
      </c>
      <c r="F8" s="28">
        <v>1</v>
      </c>
      <c r="G8" s="28">
        <v>1</v>
      </c>
    </row>
    <row r="9" spans="1:8" ht="24">
      <c r="A9" s="94" t="s">
        <v>46</v>
      </c>
      <c r="B9" s="28" t="s">
        <v>47</v>
      </c>
      <c r="C9" s="26" t="s">
        <v>48</v>
      </c>
      <c r="D9" s="28" t="s">
        <v>49</v>
      </c>
      <c r="E9" s="28">
        <v>5</v>
      </c>
      <c r="F9" s="28">
        <v>2</v>
      </c>
      <c r="G9" s="28">
        <v>2</v>
      </c>
    </row>
    <row r="10" spans="1:8" ht="24">
      <c r="A10" s="94" t="s">
        <v>50</v>
      </c>
      <c r="B10" s="28" t="s">
        <v>51</v>
      </c>
      <c r="C10" s="26" t="s">
        <v>52</v>
      </c>
      <c r="D10" s="28" t="s">
        <v>49</v>
      </c>
      <c r="E10" s="28">
        <v>5</v>
      </c>
      <c r="F10" s="28">
        <v>2</v>
      </c>
      <c r="G10" s="28">
        <v>2</v>
      </c>
    </row>
    <row r="11" spans="1:8" ht="36">
      <c r="A11" s="94" t="s">
        <v>53</v>
      </c>
      <c r="B11" s="28" t="s">
        <v>54</v>
      </c>
      <c r="C11" s="26" t="s">
        <v>55</v>
      </c>
      <c r="D11" s="28" t="s">
        <v>49</v>
      </c>
      <c r="E11" s="28">
        <v>7</v>
      </c>
      <c r="F11" s="28">
        <v>2</v>
      </c>
      <c r="G11" s="28">
        <v>4</v>
      </c>
    </row>
    <row r="12" spans="1:8" ht="36">
      <c r="A12" s="94" t="s">
        <v>56</v>
      </c>
      <c r="B12" s="28" t="s">
        <v>57</v>
      </c>
      <c r="C12" s="94" t="s">
        <v>58</v>
      </c>
      <c r="D12" s="28" t="s">
        <v>49</v>
      </c>
      <c r="E12" s="28">
        <v>4</v>
      </c>
      <c r="F12" s="28">
        <v>2</v>
      </c>
      <c r="G12" s="28">
        <v>1</v>
      </c>
    </row>
    <row r="13" spans="1:8" ht="24">
      <c r="A13" s="94" t="s">
        <v>59</v>
      </c>
      <c r="B13" s="28" t="s">
        <v>60</v>
      </c>
      <c r="C13" s="94" t="s">
        <v>61</v>
      </c>
      <c r="D13" s="28" t="s">
        <v>49</v>
      </c>
      <c r="E13" s="28">
        <v>9</v>
      </c>
      <c r="F13" s="28">
        <v>3</v>
      </c>
      <c r="G13" s="28">
        <v>3</v>
      </c>
    </row>
    <row r="14" spans="1:8" ht="24">
      <c r="B14" s="28" t="s">
        <v>62</v>
      </c>
      <c r="C14" s="26" t="s">
        <v>63</v>
      </c>
      <c r="D14" s="28" t="s">
        <v>49</v>
      </c>
      <c r="E14" s="28">
        <v>10</v>
      </c>
      <c r="F14" s="28">
        <v>3</v>
      </c>
      <c r="G14" s="28">
        <v>5</v>
      </c>
    </row>
    <row r="39" spans="8:11">
      <c r="K39" s="67"/>
    </row>
    <row r="44" spans="8:11">
      <c r="H44" s="68"/>
    </row>
    <row r="55" spans="2:7">
      <c r="B55" s="29"/>
      <c r="D55" s="29"/>
      <c r="E55" s="29"/>
      <c r="F55" s="29"/>
      <c r="G55" s="29"/>
    </row>
  </sheetData>
  <phoneticPr fontId="2" type="noConversion"/>
  <conditionalFormatting sqref="H46:H54 D47:D48 H25:H43 B56:H165 C49:G54 H13:H23 B9:B54 E9:G10 D12:H12 C9:C11 C14:G46 D13:G13 B4:H4 B5:C8 E5:H8 E11:H11 D5:D11">
    <cfRule type="expression" dxfId="40" priority="10" stopIfTrue="1">
      <formula>$D4="Done"</formula>
    </cfRule>
    <cfRule type="expression" dxfId="39" priority="11" stopIfTrue="1">
      <formula>$D4="Ongoing"</formula>
    </cfRule>
    <cfRule type="expression" dxfId="38" priority="12" stopIfTrue="1">
      <formula>$D4="Removed"</formula>
    </cfRule>
  </conditionalFormatting>
  <conditionalFormatting sqref="H55">
    <cfRule type="expression" dxfId="37" priority="13" stopIfTrue="1">
      <formula>$D45="Done"</formula>
    </cfRule>
    <cfRule type="expression" dxfId="36" priority="14" stopIfTrue="1">
      <formula>$D45="Ongoing"</formula>
    </cfRule>
    <cfRule type="expression" dxfId="35" priority="15" stopIfTrue="1">
      <formula>$D45="Removed"</formula>
    </cfRule>
  </conditionalFormatting>
  <conditionalFormatting sqref="H44:H45">
    <cfRule type="expression" dxfId="34" priority="16" stopIfTrue="1">
      <formula>#REF!="Done"</formula>
    </cfRule>
    <cfRule type="expression" dxfId="33" priority="17" stopIfTrue="1">
      <formula>#REF!="Ongoing"</formula>
    </cfRule>
    <cfRule type="expression" dxfId="32" priority="18" stopIfTrue="1">
      <formula>#REF!="Removed"</formula>
    </cfRule>
  </conditionalFormatting>
  <conditionalFormatting sqref="H24">
    <cfRule type="expression" dxfId="31" priority="19" stopIfTrue="1">
      <formula>#REF!="Done"</formula>
    </cfRule>
    <cfRule type="expression" dxfId="30" priority="20" stopIfTrue="1">
      <formula>#REF!="Ongoing"</formula>
    </cfRule>
    <cfRule type="expression" dxfId="29" priority="21" stopIfTrue="1">
      <formula>#REF!="Removed"</formula>
    </cfRule>
  </conditionalFormatting>
  <conditionalFormatting sqref="H9">
    <cfRule type="expression" dxfId="28" priority="25" stopIfTrue="1">
      <formula>$D10="Done"</formula>
    </cfRule>
    <cfRule type="expression" dxfId="27" priority="26" stopIfTrue="1">
      <formula>$D10="Ongoing"</formula>
    </cfRule>
    <cfRule type="expression" dxfId="26" priority="27" stopIfTrue="1">
      <formula>$D10="Removed"</formula>
    </cfRule>
  </conditionalFormatting>
  <conditionalFormatting sqref="A4">
    <cfRule type="expression" dxfId="25" priority="7" stopIfTrue="1">
      <formula>$D4="Done"</formula>
    </cfRule>
    <cfRule type="expression" dxfId="24" priority="8" stopIfTrue="1">
      <formula>$D4="Ongoing"</formula>
    </cfRule>
    <cfRule type="expression" dxfId="23" priority="9" stopIfTrue="1">
      <formula>$D4="Removed"</formula>
    </cfRule>
  </conditionalFormatting>
  <conditionalFormatting sqref="A5:A6">
    <cfRule type="expression" dxfId="22" priority="4" stopIfTrue="1">
      <formula>$D5="Done"</formula>
    </cfRule>
    <cfRule type="expression" dxfId="21" priority="5" stopIfTrue="1">
      <formula>$D5="Ongoing"</formula>
    </cfRule>
    <cfRule type="expression" dxfId="20" priority="6" stopIfTrue="1">
      <formula>$D5="Removed"</formula>
    </cfRule>
  </conditionalFormatting>
  <conditionalFormatting sqref="A7:A8">
    <cfRule type="expression" dxfId="19" priority="1" stopIfTrue="1">
      <formula>$D7="Done"</formula>
    </cfRule>
    <cfRule type="expression" dxfId="18" priority="2" stopIfTrue="1">
      <formula>$D7="Ongoing"</formula>
    </cfRule>
    <cfRule type="expression" dxfId="17" priority="3" stopIfTrue="1">
      <formula>$D7="Removed"</formula>
    </cfRule>
  </conditionalFormatting>
  <dataValidations count="1">
    <dataValidation type="list" allowBlank="1" showInputMessage="1" sqref="D56:D165 D4 D9:D54 D7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1</xdr:col>
                    <xdr:colOff>409575</xdr:colOff>
                    <xdr:row>0</xdr:row>
                    <xdr:rowOff>95250</xdr:rowOff>
                  </from>
                  <to>
                    <xdr:col>2</xdr:col>
                    <xdr:colOff>1866900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workbookViewId="0">
      <selection activeCell="D4" sqref="D4"/>
    </sheetView>
  </sheetViews>
  <sheetFormatPr defaultRowHeight="12.75"/>
  <cols>
    <col min="1" max="1" width="11.8554687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">
      <c r="A1" s="46" t="s">
        <v>64</v>
      </c>
    </row>
    <row r="3" spans="1:26">
      <c r="A3" t="s">
        <v>65</v>
      </c>
      <c r="D3">
        <v>137</v>
      </c>
      <c r="F3" t="s">
        <v>66</v>
      </c>
      <c r="G3" s="47">
        <f>IF(COUNT(B28:B39)=0,1,COUNT(B28:B39))</f>
        <v>5</v>
      </c>
    </row>
    <row r="4" spans="1:26">
      <c r="A4" t="s">
        <v>67</v>
      </c>
      <c r="D4">
        <v>3</v>
      </c>
      <c r="E4" t="s">
        <v>68</v>
      </c>
      <c r="F4" t="s">
        <v>69</v>
      </c>
      <c r="G4" s="47">
        <f>IF(COUNT(D28:D51)=0,1,COUNT(D28:D51)+1)</f>
        <v>3</v>
      </c>
    </row>
    <row r="5" spans="1:26">
      <c r="F5" t="s">
        <v>70</v>
      </c>
      <c r="G5" s="47">
        <f>IF(G4&gt;D4,G4-D4,0)</f>
        <v>0</v>
      </c>
      <c r="Z5" s="31" t="s">
        <v>71</v>
      </c>
    </row>
    <row r="6" spans="1:26">
      <c r="A6" s="1" t="s">
        <v>72</v>
      </c>
      <c r="F6" t="s">
        <v>73</v>
      </c>
      <c r="G6" s="47">
        <f>TrendSprintCount-TrendOffset</f>
        <v>3</v>
      </c>
      <c r="Z6" s="31" t="s">
        <v>74</v>
      </c>
    </row>
    <row r="7" spans="1:26">
      <c r="A7" t="s">
        <v>75</v>
      </c>
      <c r="D7">
        <v>30</v>
      </c>
      <c r="Z7" s="31" t="s">
        <v>76</v>
      </c>
    </row>
    <row r="8" spans="1:26">
      <c r="A8" s="96">
        <f>D$4</f>
        <v>3</v>
      </c>
      <c r="B8" s="96"/>
      <c r="D8" s="50">
        <f ca="1">IF(D28="","",AVERAGE(OFFSET(D27,TrendOffset,0,SprintsInTrend,1)))</f>
        <v>25</v>
      </c>
      <c r="Z8" s="31" t="s">
        <v>77</v>
      </c>
    </row>
    <row r="9" spans="1:26">
      <c r="A9" t="s">
        <v>78</v>
      </c>
      <c r="D9" s="50">
        <f ca="1">IF(D28="","",AVERAGE(OFFSET(D27,1,0,SprintCount,1)))</f>
        <v>25</v>
      </c>
      <c r="F9" t="s">
        <v>79</v>
      </c>
      <c r="G9" s="47">
        <f ca="1">IF(M28="",1,COUNT(M28:M110))</f>
        <v>7</v>
      </c>
      <c r="Z9" s="31" t="s">
        <v>80</v>
      </c>
    </row>
    <row r="10" spans="1:26">
      <c r="A10" t="s">
        <v>81</v>
      </c>
      <c r="D10" s="50">
        <f ca="1">IF(D28="","",AVERAGE(LastEight))</f>
        <v>25</v>
      </c>
      <c r="Z10" s="31" t="s">
        <v>82</v>
      </c>
    </row>
    <row r="11" spans="1:26">
      <c r="A11" t="s">
        <v>83</v>
      </c>
      <c r="D11" s="50">
        <f ca="1">IF(D28="","",IF(TrendSprintCount&lt;4,D10,AVERAGE(SMALL(LastEight,1),SMALL(LastEight,2),SMALL(LastEight,3))))</f>
        <v>25</v>
      </c>
      <c r="Z11" s="31" t="s">
        <v>84</v>
      </c>
    </row>
    <row r="12" spans="1:26">
      <c r="A12" t="s">
        <v>85</v>
      </c>
      <c r="D12" s="50">
        <f ca="1">IF(M29="","",M28-M29)</f>
        <v>25</v>
      </c>
      <c r="Z12" s="31" t="s">
        <v>86</v>
      </c>
    </row>
    <row r="13" spans="1:26">
      <c r="F13" s="48" t="s">
        <v>87</v>
      </c>
      <c r="Z13" s="31" t="s">
        <v>88</v>
      </c>
    </row>
    <row r="14" spans="1:26">
      <c r="A14" s="1" t="s">
        <v>89</v>
      </c>
    </row>
    <row r="15" spans="1:26">
      <c r="A15" t="s">
        <v>90</v>
      </c>
      <c r="D15" s="51">
        <f>IF(D7="",0,ROUNDUP(D3/D7*0.6,0))</f>
        <v>3</v>
      </c>
    </row>
    <row r="16" spans="1:26">
      <c r="A16" t="s">
        <v>91</v>
      </c>
      <c r="D16" s="51">
        <f>IF(D7="",0,ROUNDUP(D3/D7,0))</f>
        <v>5</v>
      </c>
    </row>
    <row r="17" spans="1:17">
      <c r="A17" t="s">
        <v>92</v>
      </c>
      <c r="D17" s="51">
        <f>IF(D7="",0,ROUNDUP(D3/D7*1.6,0))</f>
        <v>8</v>
      </c>
      <c r="F17" t="s">
        <v>93</v>
      </c>
      <c r="G17">
        <f>IF(OR(D28="",D29=""),1,STDEV(D28:D51))</f>
        <v>2.8284271247461903</v>
      </c>
    </row>
    <row r="18" spans="1:17">
      <c r="A18" s="96">
        <f>D$4</f>
        <v>3</v>
      </c>
      <c r="B18" s="96"/>
      <c r="D18" s="51">
        <f ca="1">IF(D8="","",IF(LastRealized="",ROUNDUP(LastPlanned/D8,0)+SprintCount-1,ROUNDUP((LastPlanned-LastRealized)/D8+SprintCount,0)))</f>
        <v>6</v>
      </c>
    </row>
    <row r="19" spans="1:17">
      <c r="A19" t="s">
        <v>94</v>
      </c>
      <c r="D19" s="51">
        <f ca="1">IF(D9="","",IF(LastRealized="",ROUNDUP(LastPlanned/D9+SprintCount-1,0),ROUNDUP((LastPlanned-LastRealized)/D9,0)+SprintCount))</f>
        <v>6</v>
      </c>
      <c r="F19" t="s">
        <v>95</v>
      </c>
      <c r="G19">
        <f ca="1">LastPlanned</f>
        <v>28</v>
      </c>
    </row>
    <row r="20" spans="1:17">
      <c r="A20" t="s">
        <v>81</v>
      </c>
      <c r="D20" s="51">
        <f ca="1">IF(D10="","",IF(LastRealized="",ROUNDUP(LastPlanned/D10+SprintCount-1,0),ROUNDUP((LastPlanned-LastRealized)/D10,0)+SprintCount))</f>
        <v>6</v>
      </c>
      <c r="F20" t="s">
        <v>96</v>
      </c>
      <c r="G20">
        <f ca="1">LastRealized</f>
        <v>0</v>
      </c>
    </row>
    <row r="21" spans="1:17">
      <c r="A21" t="s">
        <v>83</v>
      </c>
      <c r="D21" s="51">
        <f ca="1">IF(D11="","",IF(LastRealized="",ROUNDUP(LastPlanned/D11+SprintCount-1,0),ROUNDUP((LastPlanned-LastRealized)/D11,0)+SprintCount))</f>
        <v>6</v>
      </c>
    </row>
    <row r="22" spans="1:17">
      <c r="A22" t="s">
        <v>85</v>
      </c>
      <c r="D22" s="51">
        <f ca="1">IF(COUNT(M28:M51)-1&gt;0,COUNT(M28:M51)-1,"")</f>
        <v>6</v>
      </c>
    </row>
    <row r="23" spans="1:17">
      <c r="A23" t="s">
        <v>97</v>
      </c>
      <c r="D23" s="51">
        <f ca="1">IF(D9="","",IF(LastRealized="",ROUNDUP(LastPlanned/(D9+G17)+SprintCount-1,0),ROUNDUP((LastPlanned-LastRealized)/(D9+G17)+SprintCount,0)))</f>
        <v>6</v>
      </c>
    </row>
    <row r="24" spans="1:17">
      <c r="A24" t="s">
        <v>98</v>
      </c>
      <c r="D24" s="51">
        <f ca="1">IF(D9="","",IF(LastRealized="",ROUNDUP(LastPlanned/(D9-G17)+SprintCount-1,0),ROUNDUP((LastPlanned-LastRealized)/(D9-G17)+SprintCount,0)))</f>
        <v>6</v>
      </c>
    </row>
    <row r="26" spans="1:17" ht="12.75" customHeight="1">
      <c r="F26" s="98" t="s">
        <v>85</v>
      </c>
      <c r="G26" s="98"/>
      <c r="H26" s="98"/>
      <c r="I26" s="98"/>
      <c r="J26" s="98"/>
      <c r="K26" s="98"/>
      <c r="L26" s="98"/>
      <c r="M26" s="98"/>
      <c r="N26" s="98"/>
      <c r="O26" s="98" t="s">
        <v>99</v>
      </c>
      <c r="P26" s="98"/>
      <c r="Q26" s="98"/>
    </row>
    <row r="27" spans="1:17" ht="26.25" thickBot="1">
      <c r="A27" s="52" t="s">
        <v>11</v>
      </c>
      <c r="B27" s="53" t="s">
        <v>100</v>
      </c>
      <c r="C27" s="53" t="s">
        <v>101</v>
      </c>
      <c r="D27" s="54" t="s">
        <v>102</v>
      </c>
      <c r="E27" s="54" t="s">
        <v>103</v>
      </c>
      <c r="F27" s="55" t="s">
        <v>104</v>
      </c>
      <c r="G27" s="97" t="s">
        <v>105</v>
      </c>
      <c r="H27" s="97"/>
      <c r="I27" s="55" t="s">
        <v>106</v>
      </c>
      <c r="J27" s="56"/>
      <c r="K27" s="55" t="s">
        <v>107</v>
      </c>
      <c r="L27" s="55" t="s">
        <v>108</v>
      </c>
      <c r="M27" s="55" t="s">
        <v>109</v>
      </c>
      <c r="N27" s="57" t="s">
        <v>110</v>
      </c>
      <c r="O27" s="55" t="s">
        <v>111</v>
      </c>
      <c r="P27" s="55" t="s">
        <v>112</v>
      </c>
      <c r="Q27" s="55" t="s">
        <v>113</v>
      </c>
    </row>
    <row r="28" spans="1:17">
      <c r="A28" s="49">
        <v>1</v>
      </c>
      <c r="B28" s="2">
        <f>D3</f>
        <v>137</v>
      </c>
      <c r="C28" s="2">
        <v>23</v>
      </c>
      <c r="D28" s="2">
        <v>23</v>
      </c>
      <c r="E28" s="49">
        <f>B28</f>
        <v>137</v>
      </c>
      <c r="F28" s="47">
        <f>B28</f>
        <v>137</v>
      </c>
      <c r="G28" s="47">
        <f t="shared" ref="G28:G51" si="0">F28</f>
        <v>137</v>
      </c>
      <c r="H28" s="47">
        <f t="shared" ref="H28:H33" si="1">I28</f>
        <v>0</v>
      </c>
      <c r="I28" s="47">
        <v>0</v>
      </c>
      <c r="K28">
        <f t="shared" ref="K28:K33" si="2">IF(F28&lt;I28,I28,F28)</f>
        <v>137</v>
      </c>
      <c r="L28" s="47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137.66666666666669</v>
      </c>
      <c r="M28" s="47">
        <f ca="1">L28</f>
        <v>137.66666666666669</v>
      </c>
      <c r="N28" s="47">
        <f t="shared" ref="N28:N51" ca="1" si="4">OFFSET($I$27,TrendSprintCount,0,1,1)</f>
        <v>0</v>
      </c>
      <c r="O28" s="58">
        <f t="shared" ref="O28:O51" ca="1" si="5">D$9</f>
        <v>25</v>
      </c>
      <c r="P28" s="58">
        <f t="shared" ref="P28:P51" ca="1" si="6">D$10</f>
        <v>25</v>
      </c>
      <c r="Q28" s="58">
        <f t="shared" ref="Q28:Q51" ca="1" si="7">D$11</f>
        <v>25</v>
      </c>
    </row>
    <row r="29" spans="1:17">
      <c r="A29" s="49">
        <v>2</v>
      </c>
      <c r="B29" s="2">
        <f t="shared" ref="B29:B51" si="8">IF(OR(B28="",C28=""),"",IF(D28="",IF(B28-C28&lt;=0,"",B28-C28),IF(B28-D28&lt;=0,"",B28-D28)))</f>
        <v>114</v>
      </c>
      <c r="C29" s="2">
        <v>29</v>
      </c>
      <c r="D29" s="2">
        <v>27</v>
      </c>
      <c r="E29" s="49">
        <f>IF(B29="","",IF(D28="",E28,B29+SUM(D$28:D28)))</f>
        <v>137</v>
      </c>
      <c r="F29" s="47">
        <f t="shared" ref="F29:F34" si="9">IF(B29="",IF(B28="","",IF(D28="","",I28)),IF(AND(D28="",C28=""),"",IF(AND(D28="",C28&lt;&gt;""),IF(I28&gt;F28,F28,I28),F28-D28)))</f>
        <v>114</v>
      </c>
      <c r="G29" s="47">
        <f t="shared" si="0"/>
        <v>114</v>
      </c>
      <c r="H29" s="47">
        <f t="shared" si="1"/>
        <v>0</v>
      </c>
      <c r="I29" s="47">
        <f>IF(B29="",IF(B28="","",IF(D28="","",F28-D28)),IF(AND(C28="",D28=""),"",IF(AND(D28="",C28&lt;&gt;""),IF(I28&gt;F28,I28-C28,F28-C28),B$28-B29-SUM(D$28:D28))))</f>
        <v>0</v>
      </c>
      <c r="K29">
        <f t="shared" si="2"/>
        <v>114</v>
      </c>
      <c r="L29" s="47">
        <f t="shared" ca="1" si="3"/>
        <v>112.66666666666669</v>
      </c>
      <c r="M29" s="47">
        <f ca="1">IF(L29=L28,"",L29)</f>
        <v>112.66666666666669</v>
      </c>
      <c r="N29" s="47">
        <f t="shared" ca="1" si="4"/>
        <v>0</v>
      </c>
      <c r="O29" s="58">
        <f t="shared" ca="1" si="5"/>
        <v>25</v>
      </c>
      <c r="P29" s="58">
        <f t="shared" ca="1" si="6"/>
        <v>25</v>
      </c>
      <c r="Q29" s="58">
        <f t="shared" ca="1" si="7"/>
        <v>25</v>
      </c>
    </row>
    <row r="30" spans="1:17">
      <c r="A30" s="49">
        <v>3</v>
      </c>
      <c r="B30" s="2">
        <f t="shared" si="8"/>
        <v>87</v>
      </c>
      <c r="C30" s="2">
        <v>31</v>
      </c>
      <c r="D30" s="2"/>
      <c r="E30" s="49">
        <f>IF(B30="","",IF(D29="",E29,B30+SUM(D$28:D29)))</f>
        <v>137</v>
      </c>
      <c r="F30" s="47">
        <f t="shared" si="9"/>
        <v>87</v>
      </c>
      <c r="G30" s="47">
        <f t="shared" si="0"/>
        <v>87</v>
      </c>
      <c r="H30" s="47">
        <f t="shared" si="1"/>
        <v>0</v>
      </c>
      <c r="I30" s="47">
        <f>IF(B30="",IF(B29="","",IF(D29="","",F29-D29)),IF(AND(C29="",D29=""),"",IF(AND(D29="",C29&lt;&gt;""),IF(I29&gt;F29,I29-C29,F29-C29),B$28-B30-SUM(D$28:D29))))</f>
        <v>0</v>
      </c>
      <c r="K30">
        <f t="shared" si="2"/>
        <v>87</v>
      </c>
      <c r="L30" s="47">
        <f t="shared" ca="1" si="3"/>
        <v>87.666666666666686</v>
      </c>
      <c r="M30" s="47">
        <f t="shared" ref="M30:M51" ca="1" si="10">IF(L30=L29,"",L30)</f>
        <v>87.666666666666686</v>
      </c>
      <c r="N30" s="47">
        <f t="shared" ca="1" si="4"/>
        <v>0</v>
      </c>
      <c r="O30" s="58">
        <f t="shared" ca="1" si="5"/>
        <v>25</v>
      </c>
      <c r="P30" s="58">
        <f t="shared" ca="1" si="6"/>
        <v>25</v>
      </c>
      <c r="Q30" s="58">
        <f t="shared" ca="1" si="7"/>
        <v>25</v>
      </c>
    </row>
    <row r="31" spans="1:17">
      <c r="A31" s="49">
        <v>4</v>
      </c>
      <c r="B31" s="2">
        <f t="shared" si="8"/>
        <v>56</v>
      </c>
      <c r="C31" s="2">
        <v>28</v>
      </c>
      <c r="D31" s="2"/>
      <c r="E31" s="49">
        <f>IF(B31="","",IF(D30="",E30,B31+SUM(D$28:D30)))</f>
        <v>137</v>
      </c>
      <c r="F31" s="47">
        <f t="shared" si="9"/>
        <v>0</v>
      </c>
      <c r="G31" s="47">
        <f t="shared" si="0"/>
        <v>0</v>
      </c>
      <c r="H31" s="47">
        <f t="shared" si="1"/>
        <v>56</v>
      </c>
      <c r="I31" s="47">
        <f>IF(B31="",IF(B30="","",IF(D30="","",F30-D30)),IF(AND(C30="",D30=""),"",IF(AND(D30="",C30&lt;&gt;""),IF(I30&gt;F30,I30-C30,F30-C30),B$28-B31-SUM(D$28:D30))))</f>
        <v>56</v>
      </c>
      <c r="K31">
        <f t="shared" si="2"/>
        <v>56</v>
      </c>
      <c r="L31" s="47">
        <f t="shared" ca="1" si="3"/>
        <v>62.666666666666686</v>
      </c>
      <c r="M31" s="47">
        <f t="shared" ca="1" si="10"/>
        <v>62.666666666666686</v>
      </c>
      <c r="N31" s="47">
        <f t="shared" ca="1" si="4"/>
        <v>0</v>
      </c>
      <c r="O31" s="58">
        <f t="shared" ca="1" si="5"/>
        <v>25</v>
      </c>
      <c r="P31" s="58">
        <f t="shared" ca="1" si="6"/>
        <v>25</v>
      </c>
      <c r="Q31" s="58">
        <f t="shared" ca="1" si="7"/>
        <v>25</v>
      </c>
    </row>
    <row r="32" spans="1:17">
      <c r="A32" s="49">
        <v>5</v>
      </c>
      <c r="B32" s="2">
        <f>IF(OR(B31="",C31=""),"",IF(D31="",IF(B31-C31&lt;=0,"",B31-C31),IF(B31-D31&lt;=0,"",B31-D31)))</f>
        <v>28</v>
      </c>
      <c r="C32" s="2">
        <v>28</v>
      </c>
      <c r="D32" s="2"/>
      <c r="E32" s="49">
        <f>IF(B32="","",IF(D31="",E31,B32+SUM(D$28:D31)))</f>
        <v>137</v>
      </c>
      <c r="F32" s="47">
        <f t="shared" si="9"/>
        <v>0</v>
      </c>
      <c r="G32" s="47">
        <f t="shared" si="0"/>
        <v>0</v>
      </c>
      <c r="H32" s="47">
        <f t="shared" si="1"/>
        <v>28</v>
      </c>
      <c r="I32" s="47">
        <f>IF(B32="",IF(B31="","",IF(D31="","",F31-D31)),IF(AND(C31="",D31=""),"",IF(AND(D31="",C31&lt;&gt;""),IF(I31&gt;F31,I31-C31,F31-C31),B$28-B32-SUM(D$28:D31))))</f>
        <v>28</v>
      </c>
      <c r="K32">
        <f t="shared" si="2"/>
        <v>28</v>
      </c>
      <c r="L32" s="47">
        <f t="shared" ca="1" si="3"/>
        <v>37.666666666666686</v>
      </c>
      <c r="M32" s="47">
        <f t="shared" ca="1" si="10"/>
        <v>37.666666666666686</v>
      </c>
      <c r="N32" s="47">
        <f t="shared" ca="1" si="4"/>
        <v>0</v>
      </c>
      <c r="O32" s="58">
        <f t="shared" ca="1" si="5"/>
        <v>25</v>
      </c>
      <c r="P32" s="58">
        <f t="shared" ca="1" si="6"/>
        <v>25</v>
      </c>
      <c r="Q32" s="58">
        <f t="shared" ca="1" si="7"/>
        <v>25</v>
      </c>
    </row>
    <row r="33" spans="1:17">
      <c r="A33" s="49">
        <v>6</v>
      </c>
      <c r="B33" s="2" t="str">
        <f>IF(OR(B32="",C32=""),"",IF(D32="",IF(B32-C32&lt;=0,"",B32-C32),IF(B32-D32&lt;=0,"",B32-D32)))</f>
        <v/>
      </c>
      <c r="C33" s="2"/>
      <c r="D33" s="2"/>
      <c r="E33" s="49" t="str">
        <f>IF(B33="","",IF(D32="",E32,B33+SUM(D$28:D32)))</f>
        <v/>
      </c>
      <c r="F33" s="47" t="str">
        <f t="shared" si="9"/>
        <v/>
      </c>
      <c r="G33" s="47" t="str">
        <f t="shared" si="0"/>
        <v/>
      </c>
      <c r="H33" s="47" t="str">
        <f t="shared" si="1"/>
        <v/>
      </c>
      <c r="I33" s="47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7">
        <f t="shared" ca="1" si="3"/>
        <v>12.666666666666686</v>
      </c>
      <c r="M33" s="47">
        <f t="shared" ca="1" si="10"/>
        <v>12.666666666666686</v>
      </c>
      <c r="N33" s="47">
        <f t="shared" ca="1" si="4"/>
        <v>0</v>
      </c>
      <c r="O33" s="58">
        <f t="shared" ca="1" si="5"/>
        <v>25</v>
      </c>
      <c r="P33" s="58">
        <f t="shared" ca="1" si="6"/>
        <v>25</v>
      </c>
      <c r="Q33" s="58">
        <f t="shared" ca="1" si="7"/>
        <v>25</v>
      </c>
    </row>
    <row r="34" spans="1:17">
      <c r="A34" s="49">
        <v>7</v>
      </c>
      <c r="B34" s="2" t="str">
        <f>IF(OR(B33="",C33=""),"",IF(D33="",IF(B33-C33&lt;=0,"",B33-C33),IF(B33-D33&lt;=0,"",B33-D33)))</f>
        <v/>
      </c>
      <c r="C34" s="2"/>
      <c r="D34" s="2"/>
      <c r="E34" s="49" t="str">
        <f>IF(B34="","",IF(D33="",E33,B34+SUM(D$28:D33)))</f>
        <v/>
      </c>
      <c r="F34" s="47" t="str">
        <f t="shared" si="9"/>
        <v/>
      </c>
      <c r="G34" s="47" t="str">
        <f t="shared" si="0"/>
        <v/>
      </c>
      <c r="H34" s="47" t="str">
        <f t="shared" ref="H34:H51" si="11">I34</f>
        <v/>
      </c>
      <c r="I34" s="47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7">
        <f t="shared" ca="1" si="3"/>
        <v>0</v>
      </c>
      <c r="M34" s="47">
        <f t="shared" ca="1" si="10"/>
        <v>0</v>
      </c>
      <c r="N34" s="47">
        <f t="shared" ca="1" si="4"/>
        <v>0</v>
      </c>
      <c r="O34" s="58">
        <f t="shared" ca="1" si="5"/>
        <v>25</v>
      </c>
      <c r="P34" s="58">
        <f t="shared" ca="1" si="6"/>
        <v>25</v>
      </c>
      <c r="Q34" s="58">
        <f t="shared" ca="1" si="7"/>
        <v>25</v>
      </c>
    </row>
    <row r="35" spans="1:17">
      <c r="A35" s="49">
        <v>8</v>
      </c>
      <c r="B35" s="2" t="str">
        <f t="shared" si="8"/>
        <v/>
      </c>
      <c r="C35" s="2"/>
      <c r="D35" s="2"/>
      <c r="E35" s="49" t="str">
        <f>IF(B35="","",IF(D34="",E34,B35+SUM(D$28:D34)))</f>
        <v/>
      </c>
      <c r="F35" s="47" t="str">
        <f t="shared" ref="F35:F51" si="13">IF(B35="",IF(B34="","",IF(D34="","",I34)),IF(AND(D34="",C34=""),"",IF(AND(D34="",C34&lt;&gt;""),IF(I34&gt;F34,F34,I34),F34-D34)))</f>
        <v/>
      </c>
      <c r="G35" s="47" t="str">
        <f t="shared" si="0"/>
        <v/>
      </c>
      <c r="H35" s="47" t="str">
        <f t="shared" si="11"/>
        <v/>
      </c>
      <c r="I35" s="47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7">
        <f t="shared" ca="1" si="3"/>
        <v>0</v>
      </c>
      <c r="M35" s="47" t="str">
        <f t="shared" ca="1" si="10"/>
        <v/>
      </c>
      <c r="N35" s="47">
        <f t="shared" ca="1" si="4"/>
        <v>0</v>
      </c>
      <c r="O35" s="58">
        <f t="shared" ca="1" si="5"/>
        <v>25</v>
      </c>
      <c r="P35" s="58">
        <f t="shared" ca="1" si="6"/>
        <v>25</v>
      </c>
      <c r="Q35" s="58">
        <f t="shared" ca="1" si="7"/>
        <v>25</v>
      </c>
    </row>
    <row r="36" spans="1:17">
      <c r="A36" s="49">
        <v>9</v>
      </c>
      <c r="B36" s="2" t="str">
        <f t="shared" si="8"/>
        <v/>
      </c>
      <c r="C36" s="2"/>
      <c r="D36" s="2"/>
      <c r="E36" s="49" t="str">
        <f>IF(B36="","",IF(D35="",E35,B36+SUM(D$28:D35)))</f>
        <v/>
      </c>
      <c r="F36" s="47" t="str">
        <f t="shared" si="13"/>
        <v/>
      </c>
      <c r="G36" s="47" t="str">
        <f t="shared" si="0"/>
        <v/>
      </c>
      <c r="H36" s="47" t="str">
        <f t="shared" si="11"/>
        <v/>
      </c>
      <c r="I36" s="47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7">
        <f t="shared" ca="1" si="3"/>
        <v>0</v>
      </c>
      <c r="M36" s="47" t="str">
        <f t="shared" ca="1" si="10"/>
        <v/>
      </c>
      <c r="N36" s="47">
        <f t="shared" ca="1" si="4"/>
        <v>0</v>
      </c>
      <c r="O36" s="58">
        <f t="shared" ca="1" si="5"/>
        <v>25</v>
      </c>
      <c r="P36" s="58">
        <f t="shared" ca="1" si="6"/>
        <v>25</v>
      </c>
      <c r="Q36" s="58">
        <f t="shared" ca="1" si="7"/>
        <v>25</v>
      </c>
    </row>
    <row r="37" spans="1:17">
      <c r="A37" s="49">
        <v>10</v>
      </c>
      <c r="B37" s="2" t="str">
        <f t="shared" si="8"/>
        <v/>
      </c>
      <c r="C37" s="2"/>
      <c r="D37" s="2"/>
      <c r="E37" s="49" t="str">
        <f>IF(B37="","",IF(D36="",E36,B37+SUM(D$28:D36)))</f>
        <v/>
      </c>
      <c r="F37" s="47" t="str">
        <f t="shared" si="13"/>
        <v/>
      </c>
      <c r="G37" s="47" t="str">
        <f t="shared" si="0"/>
        <v/>
      </c>
      <c r="H37" s="47" t="str">
        <f t="shared" si="11"/>
        <v/>
      </c>
      <c r="I37" s="47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7">
        <f t="shared" ca="1" si="3"/>
        <v>0</v>
      </c>
      <c r="M37" s="47" t="str">
        <f t="shared" ca="1" si="10"/>
        <v/>
      </c>
      <c r="N37" s="47">
        <f t="shared" ca="1" si="4"/>
        <v>0</v>
      </c>
      <c r="O37" s="58">
        <f t="shared" ca="1" si="5"/>
        <v>25</v>
      </c>
      <c r="P37" s="58">
        <f t="shared" ca="1" si="6"/>
        <v>25</v>
      </c>
      <c r="Q37" s="58">
        <f t="shared" ca="1" si="7"/>
        <v>25</v>
      </c>
    </row>
    <row r="38" spans="1:17">
      <c r="A38" s="49">
        <v>11</v>
      </c>
      <c r="B38" s="2" t="str">
        <f t="shared" si="8"/>
        <v/>
      </c>
      <c r="C38" s="2"/>
      <c r="D38" s="2"/>
      <c r="E38" s="49" t="str">
        <f>IF(B38="","",IF(D37="",E37,B38+SUM(D$28:D37)))</f>
        <v/>
      </c>
      <c r="F38" s="47" t="str">
        <f t="shared" si="13"/>
        <v/>
      </c>
      <c r="G38" s="47" t="str">
        <f t="shared" si="0"/>
        <v/>
      </c>
      <c r="H38" s="47" t="str">
        <f t="shared" si="11"/>
        <v/>
      </c>
      <c r="I38" s="47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7">
        <f t="shared" ca="1" si="3"/>
        <v>0</v>
      </c>
      <c r="M38" s="47" t="str">
        <f t="shared" ca="1" si="10"/>
        <v/>
      </c>
      <c r="N38" s="47">
        <f t="shared" ca="1" si="4"/>
        <v>0</v>
      </c>
      <c r="O38" s="58">
        <f t="shared" ca="1" si="5"/>
        <v>25</v>
      </c>
      <c r="P38" s="58">
        <f t="shared" ca="1" si="6"/>
        <v>25</v>
      </c>
      <c r="Q38" s="58">
        <f t="shared" ca="1" si="7"/>
        <v>25</v>
      </c>
    </row>
    <row r="39" spans="1:17">
      <c r="A39" s="49">
        <v>12</v>
      </c>
      <c r="B39" s="2" t="str">
        <f t="shared" si="8"/>
        <v/>
      </c>
      <c r="C39" s="2"/>
      <c r="D39" s="2"/>
      <c r="E39" s="49" t="str">
        <f>IF(B39="","",IF(D38="",E38,B39+SUM(D$28:D38)))</f>
        <v/>
      </c>
      <c r="F39" s="47" t="str">
        <f t="shared" si="13"/>
        <v/>
      </c>
      <c r="G39" s="47" t="str">
        <f t="shared" si="0"/>
        <v/>
      </c>
      <c r="H39" s="47" t="str">
        <f t="shared" si="11"/>
        <v/>
      </c>
      <c r="I39" s="47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7">
        <f t="shared" ca="1" si="3"/>
        <v>0</v>
      </c>
      <c r="M39" s="47" t="str">
        <f t="shared" ca="1" si="10"/>
        <v/>
      </c>
      <c r="N39" s="47">
        <f t="shared" ca="1" si="4"/>
        <v>0</v>
      </c>
      <c r="O39" s="58">
        <f t="shared" ca="1" si="5"/>
        <v>25</v>
      </c>
      <c r="P39" s="58">
        <f t="shared" ca="1" si="6"/>
        <v>25</v>
      </c>
      <c r="Q39" s="58">
        <f t="shared" ca="1" si="7"/>
        <v>25</v>
      </c>
    </row>
    <row r="40" spans="1:17">
      <c r="A40" s="49">
        <v>13</v>
      </c>
      <c r="B40" s="2" t="str">
        <f t="shared" si="8"/>
        <v/>
      </c>
      <c r="C40" s="2"/>
      <c r="E40" s="49" t="str">
        <f>IF(B40="","",IF(D39="",E39,B40+SUM(D$28:D39)))</f>
        <v/>
      </c>
      <c r="F40" s="47" t="str">
        <f t="shared" si="13"/>
        <v/>
      </c>
      <c r="G40" s="47" t="str">
        <f t="shared" si="0"/>
        <v/>
      </c>
      <c r="H40" s="47" t="str">
        <f t="shared" si="11"/>
        <v/>
      </c>
      <c r="I40" s="47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7">
        <f t="shared" ca="1" si="3"/>
        <v>0</v>
      </c>
      <c r="M40" s="47" t="str">
        <f t="shared" ca="1" si="10"/>
        <v/>
      </c>
      <c r="N40" s="47">
        <f t="shared" ca="1" si="4"/>
        <v>0</v>
      </c>
      <c r="O40" s="58">
        <f t="shared" ca="1" si="5"/>
        <v>25</v>
      </c>
      <c r="P40" s="58">
        <f t="shared" ca="1" si="6"/>
        <v>25</v>
      </c>
      <c r="Q40" s="58">
        <f t="shared" ca="1" si="7"/>
        <v>25</v>
      </c>
    </row>
    <row r="41" spans="1:17">
      <c r="A41" s="49">
        <v>14</v>
      </c>
      <c r="B41" s="2" t="str">
        <f t="shared" si="8"/>
        <v/>
      </c>
      <c r="C41" s="2"/>
      <c r="E41" s="49" t="str">
        <f>IF(B41="","",IF(D40="",E40,B41+SUM(D$28:D40)))</f>
        <v/>
      </c>
      <c r="F41" s="47" t="str">
        <f t="shared" si="13"/>
        <v/>
      </c>
      <c r="G41" s="47" t="str">
        <f t="shared" si="0"/>
        <v/>
      </c>
      <c r="H41" s="47" t="str">
        <f t="shared" si="11"/>
        <v/>
      </c>
      <c r="I41" s="47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7">
        <f t="shared" ca="1" si="3"/>
        <v>0</v>
      </c>
      <c r="M41" s="47" t="str">
        <f t="shared" ca="1" si="10"/>
        <v/>
      </c>
      <c r="N41" s="47">
        <f t="shared" ca="1" si="4"/>
        <v>0</v>
      </c>
      <c r="O41" s="58">
        <f t="shared" ca="1" si="5"/>
        <v>25</v>
      </c>
      <c r="P41" s="58">
        <f t="shared" ca="1" si="6"/>
        <v>25</v>
      </c>
      <c r="Q41" s="58">
        <f t="shared" ca="1" si="7"/>
        <v>25</v>
      </c>
    </row>
    <row r="42" spans="1:17">
      <c r="A42" s="49">
        <v>15</v>
      </c>
      <c r="B42" s="2" t="str">
        <f t="shared" si="8"/>
        <v/>
      </c>
      <c r="C42" s="2"/>
      <c r="E42" s="49" t="str">
        <f>IF(B42="","",IF(D41="",E41,B42+SUM(D$28:D41)))</f>
        <v/>
      </c>
      <c r="F42" s="47" t="str">
        <f t="shared" si="13"/>
        <v/>
      </c>
      <c r="G42" s="47" t="str">
        <f t="shared" si="0"/>
        <v/>
      </c>
      <c r="H42" s="47" t="str">
        <f t="shared" si="11"/>
        <v/>
      </c>
      <c r="I42" s="47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7">
        <f t="shared" ca="1" si="3"/>
        <v>0</v>
      </c>
      <c r="M42" s="47" t="str">
        <f t="shared" ca="1" si="10"/>
        <v/>
      </c>
      <c r="N42" s="47">
        <f t="shared" ca="1" si="4"/>
        <v>0</v>
      </c>
      <c r="O42" s="58">
        <f t="shared" ca="1" si="5"/>
        <v>25</v>
      </c>
      <c r="P42" s="58">
        <f t="shared" ca="1" si="6"/>
        <v>25</v>
      </c>
      <c r="Q42" s="58">
        <f t="shared" ca="1" si="7"/>
        <v>25</v>
      </c>
    </row>
    <row r="43" spans="1:17">
      <c r="A43" s="49">
        <v>16</v>
      </c>
      <c r="B43" s="2" t="str">
        <f t="shared" si="8"/>
        <v/>
      </c>
      <c r="C43" s="2"/>
      <c r="E43" s="49" t="str">
        <f>IF(B43="","",IF(D42="",E42,B43+SUM(D$28:D42)))</f>
        <v/>
      </c>
      <c r="F43" s="47" t="str">
        <f t="shared" si="13"/>
        <v/>
      </c>
      <c r="G43" s="47" t="str">
        <f t="shared" si="0"/>
        <v/>
      </c>
      <c r="H43" s="47" t="str">
        <f t="shared" si="11"/>
        <v/>
      </c>
      <c r="I43" s="47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7">
        <f t="shared" ca="1" si="3"/>
        <v>0</v>
      </c>
      <c r="M43" s="47" t="str">
        <f t="shared" ca="1" si="10"/>
        <v/>
      </c>
      <c r="N43" s="47">
        <f t="shared" ca="1" si="4"/>
        <v>0</v>
      </c>
      <c r="O43" s="58">
        <f t="shared" ca="1" si="5"/>
        <v>25</v>
      </c>
      <c r="P43" s="58">
        <f t="shared" ca="1" si="6"/>
        <v>25</v>
      </c>
      <c r="Q43" s="58">
        <f t="shared" ca="1" si="7"/>
        <v>25</v>
      </c>
    </row>
    <row r="44" spans="1:17">
      <c r="A44" s="49">
        <v>17</v>
      </c>
      <c r="B44" s="2" t="str">
        <f t="shared" si="8"/>
        <v/>
      </c>
      <c r="C44" s="2"/>
      <c r="E44" s="49" t="str">
        <f>IF(B44="","",IF(D43="",E43,B44+SUM(D$28:D43)))</f>
        <v/>
      </c>
      <c r="F44" s="47" t="str">
        <f t="shared" si="13"/>
        <v/>
      </c>
      <c r="G44" s="47" t="str">
        <f t="shared" si="0"/>
        <v/>
      </c>
      <c r="H44" s="47" t="str">
        <f t="shared" si="11"/>
        <v/>
      </c>
      <c r="I44" s="47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7">
        <f t="shared" ca="1" si="3"/>
        <v>0</v>
      </c>
      <c r="M44" s="47" t="str">
        <f t="shared" ca="1" si="10"/>
        <v/>
      </c>
      <c r="N44" s="47">
        <f t="shared" ca="1" si="4"/>
        <v>0</v>
      </c>
      <c r="O44" s="58">
        <f t="shared" ca="1" si="5"/>
        <v>25</v>
      </c>
      <c r="P44" s="58">
        <f t="shared" ca="1" si="6"/>
        <v>25</v>
      </c>
      <c r="Q44" s="58">
        <f t="shared" ca="1" si="7"/>
        <v>25</v>
      </c>
    </row>
    <row r="45" spans="1:17">
      <c r="A45" s="49">
        <v>18</v>
      </c>
      <c r="B45" s="2" t="str">
        <f t="shared" si="8"/>
        <v/>
      </c>
      <c r="C45" s="2"/>
      <c r="E45" s="49" t="str">
        <f>IF(B45="","",IF(D44="",E44,B45+SUM(D$28:D44)))</f>
        <v/>
      </c>
      <c r="F45" s="47" t="str">
        <f t="shared" si="13"/>
        <v/>
      </c>
      <c r="G45" s="47" t="str">
        <f t="shared" si="0"/>
        <v/>
      </c>
      <c r="H45" s="47" t="str">
        <f t="shared" si="11"/>
        <v/>
      </c>
      <c r="I45" s="47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7">
        <f t="shared" ca="1" si="3"/>
        <v>0</v>
      </c>
      <c r="M45" s="47" t="str">
        <f t="shared" ca="1" si="10"/>
        <v/>
      </c>
      <c r="N45" s="47">
        <f t="shared" ca="1" si="4"/>
        <v>0</v>
      </c>
      <c r="O45" s="58">
        <f t="shared" ca="1" si="5"/>
        <v>25</v>
      </c>
      <c r="P45" s="58">
        <f t="shared" ca="1" si="6"/>
        <v>25</v>
      </c>
      <c r="Q45" s="58">
        <f t="shared" ca="1" si="7"/>
        <v>25</v>
      </c>
    </row>
    <row r="46" spans="1:17">
      <c r="A46" s="49">
        <v>19</v>
      </c>
      <c r="B46" s="2" t="str">
        <f t="shared" si="8"/>
        <v/>
      </c>
      <c r="C46" s="2"/>
      <c r="E46" s="49" t="str">
        <f>IF(B46="","",IF(D45="",E45,B46+SUM(D$28:D45)))</f>
        <v/>
      </c>
      <c r="F46" s="47" t="str">
        <f t="shared" si="13"/>
        <v/>
      </c>
      <c r="G46" s="47" t="str">
        <f t="shared" si="0"/>
        <v/>
      </c>
      <c r="H46" s="47" t="str">
        <f t="shared" si="11"/>
        <v/>
      </c>
      <c r="I46" s="47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7">
        <f t="shared" ca="1" si="3"/>
        <v>0</v>
      </c>
      <c r="M46" s="47" t="str">
        <f t="shared" ca="1" si="10"/>
        <v/>
      </c>
      <c r="N46" s="47">
        <f t="shared" ca="1" si="4"/>
        <v>0</v>
      </c>
      <c r="O46" s="58">
        <f t="shared" ca="1" si="5"/>
        <v>25</v>
      </c>
      <c r="P46" s="58">
        <f t="shared" ca="1" si="6"/>
        <v>25</v>
      </c>
      <c r="Q46" s="58">
        <f t="shared" ca="1" si="7"/>
        <v>25</v>
      </c>
    </row>
    <row r="47" spans="1:17">
      <c r="A47" s="49">
        <v>20</v>
      </c>
      <c r="B47" s="2" t="str">
        <f t="shared" si="8"/>
        <v/>
      </c>
      <c r="C47" s="2"/>
      <c r="E47" s="49" t="str">
        <f>IF(B47="","",IF(D46="",E46,B47+SUM(D$28:D46)))</f>
        <v/>
      </c>
      <c r="F47" s="47" t="str">
        <f t="shared" si="13"/>
        <v/>
      </c>
      <c r="G47" s="47" t="str">
        <f t="shared" si="0"/>
        <v/>
      </c>
      <c r="H47" s="47" t="str">
        <f t="shared" si="11"/>
        <v/>
      </c>
      <c r="I47" s="47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7">
        <f t="shared" ca="1" si="3"/>
        <v>0</v>
      </c>
      <c r="M47" s="47" t="str">
        <f t="shared" ca="1" si="10"/>
        <v/>
      </c>
      <c r="N47" s="47">
        <f t="shared" ca="1" si="4"/>
        <v>0</v>
      </c>
      <c r="O47" s="58">
        <f t="shared" ca="1" si="5"/>
        <v>25</v>
      </c>
      <c r="P47" s="58">
        <f t="shared" ca="1" si="6"/>
        <v>25</v>
      </c>
      <c r="Q47" s="58">
        <f t="shared" ca="1" si="7"/>
        <v>25</v>
      </c>
    </row>
    <row r="48" spans="1:17">
      <c r="A48" s="49">
        <v>21</v>
      </c>
      <c r="B48" s="2" t="str">
        <f t="shared" si="8"/>
        <v/>
      </c>
      <c r="C48" s="2"/>
      <c r="E48" s="49" t="str">
        <f>IF(B48="","",IF(D47="",E47,B48+SUM(D$28:D47)))</f>
        <v/>
      </c>
      <c r="F48" s="47" t="str">
        <f t="shared" si="13"/>
        <v/>
      </c>
      <c r="G48" s="47" t="str">
        <f t="shared" si="0"/>
        <v/>
      </c>
      <c r="H48" s="47" t="str">
        <f t="shared" si="11"/>
        <v/>
      </c>
      <c r="I48" s="47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7">
        <f t="shared" ca="1" si="3"/>
        <v>0</v>
      </c>
      <c r="M48" s="47" t="str">
        <f t="shared" ca="1" si="10"/>
        <v/>
      </c>
      <c r="N48" s="47">
        <f t="shared" ca="1" si="4"/>
        <v>0</v>
      </c>
      <c r="O48" s="58">
        <f t="shared" ca="1" si="5"/>
        <v>25</v>
      </c>
      <c r="P48" s="58">
        <f t="shared" ca="1" si="6"/>
        <v>25</v>
      </c>
      <c r="Q48" s="58">
        <f t="shared" ca="1" si="7"/>
        <v>25</v>
      </c>
    </row>
    <row r="49" spans="1:17">
      <c r="A49" s="49">
        <v>22</v>
      </c>
      <c r="B49" s="2" t="str">
        <f t="shared" si="8"/>
        <v/>
      </c>
      <c r="C49" s="2"/>
      <c r="E49" s="49" t="str">
        <f>IF(B49="","",IF(D48="",E48,B49+SUM(D$28:D48)))</f>
        <v/>
      </c>
      <c r="F49" s="47" t="str">
        <f t="shared" si="13"/>
        <v/>
      </c>
      <c r="G49" s="47" t="str">
        <f t="shared" si="0"/>
        <v/>
      </c>
      <c r="H49" s="47" t="str">
        <f t="shared" si="11"/>
        <v/>
      </c>
      <c r="I49" s="47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7">
        <f t="shared" ca="1" si="3"/>
        <v>0</v>
      </c>
      <c r="M49" s="47" t="str">
        <f t="shared" ca="1" si="10"/>
        <v/>
      </c>
      <c r="N49" s="47">
        <f t="shared" ca="1" si="4"/>
        <v>0</v>
      </c>
      <c r="O49" s="58">
        <f t="shared" ca="1" si="5"/>
        <v>25</v>
      </c>
      <c r="P49" s="58">
        <f t="shared" ca="1" si="6"/>
        <v>25</v>
      </c>
      <c r="Q49" s="58">
        <f t="shared" ca="1" si="7"/>
        <v>25</v>
      </c>
    </row>
    <row r="50" spans="1:17">
      <c r="A50" s="49">
        <v>23</v>
      </c>
      <c r="B50" s="2" t="str">
        <f t="shared" si="8"/>
        <v/>
      </c>
      <c r="C50" s="2"/>
      <c r="E50" s="49" t="str">
        <f>IF(B50="","",IF(D49="",E49,B50+SUM(D$28:D49)))</f>
        <v/>
      </c>
      <c r="F50" s="47" t="str">
        <f t="shared" si="13"/>
        <v/>
      </c>
      <c r="G50" s="47" t="str">
        <f t="shared" si="0"/>
        <v/>
      </c>
      <c r="H50" s="47" t="str">
        <f t="shared" si="11"/>
        <v/>
      </c>
      <c r="I50" s="47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7">
        <f t="shared" ca="1" si="3"/>
        <v>0</v>
      </c>
      <c r="M50" s="47" t="str">
        <f t="shared" ca="1" si="10"/>
        <v/>
      </c>
      <c r="N50" s="47">
        <f t="shared" ca="1" si="4"/>
        <v>0</v>
      </c>
      <c r="O50" s="58">
        <f t="shared" ca="1" si="5"/>
        <v>25</v>
      </c>
      <c r="P50" s="58">
        <f t="shared" ca="1" si="6"/>
        <v>25</v>
      </c>
      <c r="Q50" s="58">
        <f t="shared" ca="1" si="7"/>
        <v>25</v>
      </c>
    </row>
    <row r="51" spans="1:17">
      <c r="A51" s="49">
        <v>24</v>
      </c>
      <c r="B51" s="2" t="str">
        <f t="shared" si="8"/>
        <v/>
      </c>
      <c r="C51" s="2"/>
      <c r="E51" s="49" t="str">
        <f>IF(B51="","",IF(D50="",E50,B51+SUM(D$28:D50)))</f>
        <v/>
      </c>
      <c r="F51" s="47" t="str">
        <f t="shared" si="13"/>
        <v/>
      </c>
      <c r="G51" s="47" t="str">
        <f t="shared" si="0"/>
        <v/>
      </c>
      <c r="H51" s="47" t="str">
        <f t="shared" si="11"/>
        <v/>
      </c>
      <c r="I51" s="47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7">
        <f t="shared" ca="1" si="3"/>
        <v>0</v>
      </c>
      <c r="M51" s="47" t="str">
        <f t="shared" ca="1" si="10"/>
        <v/>
      </c>
      <c r="N51" s="47">
        <f t="shared" ca="1" si="4"/>
        <v>0</v>
      </c>
      <c r="O51" s="58">
        <f t="shared" ca="1" si="5"/>
        <v>25</v>
      </c>
      <c r="P51" s="58">
        <f t="shared" ca="1" si="6"/>
        <v>25</v>
      </c>
      <c r="Q51" s="58">
        <f t="shared" ca="1" si="7"/>
        <v>25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6" priority="1" stopIfTrue="1">
      <formula>$D26="Done"</formula>
    </cfRule>
    <cfRule type="expression" dxfId="15" priority="2" stopIfTrue="1">
      <formula>$D26="Ongoing"</formula>
    </cfRule>
    <cfRule type="expression" dxfId="14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8"/>
  <sheetViews>
    <sheetView tabSelected="1" workbookViewId="0">
      <pane ySplit="14" topLeftCell="A26" activePane="bottomLeft" state="frozen"/>
      <selection pane="bottomLeft" activeCell="L34" sqref="L34"/>
    </sheetView>
  </sheetViews>
  <sheetFormatPr defaultRowHeight="12.75"/>
  <cols>
    <col min="1" max="1" width="52.85546875" style="29" bestFit="1" customWidth="1"/>
    <col min="2" max="2" width="8.5703125" style="28" customWidth="1"/>
    <col min="3" max="3" width="13.7109375" style="29" customWidth="1"/>
    <col min="4" max="4" width="10.85546875" style="29" customWidth="1"/>
    <col min="5" max="5" width="6.5703125" style="28" customWidth="1"/>
    <col min="6" max="30" width="4.42578125" style="28" customWidth="1"/>
    <col min="31" max="16384" width="9.140625" style="29"/>
  </cols>
  <sheetData>
    <row r="1" spans="1:30" ht="18">
      <c r="A1" s="59">
        <v>1</v>
      </c>
      <c r="B1" s="60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0">
      <c r="A2" s="29" t="s">
        <v>114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</row>
    <row r="9" spans="1:30">
      <c r="A9" s="61" t="s">
        <v>115</v>
      </c>
      <c r="B9" s="28">
        <v>7</v>
      </c>
      <c r="C9" s="61"/>
      <c r="D9" s="62"/>
      <c r="E9" s="61" t="s">
        <v>116</v>
      </c>
      <c r="F9" s="61" t="s">
        <v>117</v>
      </c>
      <c r="G9" s="61"/>
      <c r="H9" s="61"/>
      <c r="I9" s="61"/>
      <c r="J9" s="61"/>
      <c r="K9" s="61"/>
      <c r="L9" s="61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</row>
    <row r="10" spans="1:30">
      <c r="A10" s="61" t="s">
        <v>118</v>
      </c>
      <c r="B10" s="28">
        <v>5</v>
      </c>
      <c r="C10" s="61" t="s">
        <v>3</v>
      </c>
      <c r="D10" s="61" t="s">
        <v>119</v>
      </c>
      <c r="E10" t="str">
        <f>IF(B11&lt;&gt;"","Planned","")</f>
        <v>Planned</v>
      </c>
      <c r="F10" s="63">
        <f ca="1">IF(AND(SUM(OFFSET(F14,1,0,TaskRows,1))=0),0,SUM(OFFSET(F14,1,0,TaskRows,1)))</f>
        <v>43</v>
      </c>
      <c r="G10" s="63">
        <f ca="1">IF(AND(SUM(OFFSET(G14,1,0,TaskRows,1))=0),"",SUM(OFFSET(G14,1,0,TaskRows,1)))</f>
        <v>45</v>
      </c>
      <c r="H10" s="63">
        <f t="shared" ref="G10:AD10" ca="1" si="0">IF(AND(SUM(OFFSET(H14,1,0,TaskRows,1))=0),"",SUM(OFFSET(H14,1,0,TaskRows,1)))</f>
        <v>40</v>
      </c>
      <c r="I10" s="63">
        <f t="shared" ca="1" si="0"/>
        <v>24</v>
      </c>
      <c r="J10" s="63">
        <f t="shared" ca="1" si="0"/>
        <v>21</v>
      </c>
      <c r="K10" s="63">
        <f t="shared" ca="1" si="0"/>
        <v>12</v>
      </c>
      <c r="L10" s="63">
        <f t="shared" ca="1" si="0"/>
        <v>2</v>
      </c>
      <c r="M10" s="63" t="str">
        <f t="shared" ca="1" si="0"/>
        <v/>
      </c>
      <c r="N10" s="63" t="str">
        <f t="shared" ca="1" si="0"/>
        <v/>
      </c>
      <c r="O10" s="63" t="str">
        <f t="shared" ca="1" si="0"/>
        <v/>
      </c>
      <c r="P10" s="63" t="str">
        <f t="shared" ca="1" si="0"/>
        <v/>
      </c>
      <c r="Q10" s="63" t="str">
        <f t="shared" ca="1" si="0"/>
        <v/>
      </c>
      <c r="R10" s="63" t="str">
        <f t="shared" ca="1" si="0"/>
        <v/>
      </c>
      <c r="S10" s="63" t="str">
        <f t="shared" ca="1" si="0"/>
        <v/>
      </c>
      <c r="T10" s="63" t="str">
        <f t="shared" ca="1" si="0"/>
        <v/>
      </c>
      <c r="U10" s="63" t="str">
        <f t="shared" ca="1" si="0"/>
        <v/>
      </c>
      <c r="V10" s="63" t="str">
        <f t="shared" ca="1" si="0"/>
        <v/>
      </c>
      <c r="W10" s="63" t="str">
        <f t="shared" ca="1" si="0"/>
        <v/>
      </c>
      <c r="X10" s="63" t="str">
        <f t="shared" ca="1" si="0"/>
        <v/>
      </c>
      <c r="Y10" s="63" t="str">
        <f t="shared" ca="1" si="0"/>
        <v/>
      </c>
      <c r="Z10" s="63" t="str">
        <f t="shared" ca="1" si="0"/>
        <v/>
      </c>
      <c r="AA10" s="63" t="str">
        <f t="shared" ca="1" si="0"/>
        <v/>
      </c>
      <c r="AB10" s="63" t="str">
        <f t="shared" ca="1" si="0"/>
        <v/>
      </c>
      <c r="AC10" s="63" t="str">
        <f t="shared" ca="1" si="0"/>
        <v/>
      </c>
      <c r="AD10" s="63" t="str">
        <f t="shared" ca="1" si="0"/>
        <v/>
      </c>
    </row>
    <row r="11" spans="1:30" customFormat="1" hidden="1">
      <c r="A11" t="s">
        <v>120</v>
      </c>
      <c r="B11" s="2">
        <f>IF(COUNTA(A16:A243)=0,1,COUNTA(A16:A243))</f>
        <v>28</v>
      </c>
      <c r="C11" t="s">
        <v>121</v>
      </c>
      <c r="D11" s="2">
        <f ca="1">IF(COUNTIF(F10:AD10,"&gt;0")=0,1,COUNTIF(F10:AD10,"&gt;0"))</f>
        <v>7</v>
      </c>
      <c r="E11" s="2"/>
      <c r="F11" s="2" t="e">
        <f>IF(F14="","",$E10-$E10/($B9-1)*(F14-1))</f>
        <v>#VALUE!</v>
      </c>
      <c r="G11" s="2" t="e">
        <f t="shared" ref="G11:AD11" si="1">IF(G14="","",TotalEffort-TotalEffort/(ImplementationDays)*(G14-1))</f>
        <v>#VALUE!</v>
      </c>
      <c r="H11" s="2" t="e">
        <f t="shared" si="1"/>
        <v>#VALUE!</v>
      </c>
      <c r="I11" s="2" t="e">
        <f t="shared" si="1"/>
        <v>#VALUE!</v>
      </c>
      <c r="J11" s="2" t="e">
        <f t="shared" si="1"/>
        <v>#VALUE!</v>
      </c>
      <c r="K11" s="2" t="e">
        <f t="shared" si="1"/>
        <v>#VALUE!</v>
      </c>
      <c r="L11" s="2" t="e">
        <f t="shared" si="1"/>
        <v>#VALUE!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>
      <c r="A12" s="48" t="s">
        <v>122</v>
      </c>
      <c r="C12" t="s">
        <v>85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54.999999999999986</v>
      </c>
      <c r="G12" s="2">
        <f t="shared" ca="1" si="2"/>
        <v>46.199999999999989</v>
      </c>
      <c r="H12" s="2">
        <f t="shared" ca="1" si="2"/>
        <v>37.399999999999991</v>
      </c>
      <c r="I12" s="2">
        <f t="shared" ca="1" si="2"/>
        <v>28.599999999999994</v>
      </c>
      <c r="J12" s="2">
        <f t="shared" ca="1" si="2"/>
        <v>19.799999999999997</v>
      </c>
      <c r="K12" s="2">
        <f t="shared" ca="1" si="2"/>
        <v>11</v>
      </c>
      <c r="L12" s="2">
        <f t="shared" ca="1" si="2"/>
        <v>2.2000000000000028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>
      <c r="A13" s="48" t="s">
        <v>123</v>
      </c>
      <c r="C13" t="s">
        <v>124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61" t="s">
        <v>125</v>
      </c>
      <c r="B14" s="64" t="s">
        <v>29</v>
      </c>
      <c r="C14" s="61" t="s">
        <v>126</v>
      </c>
      <c r="D14" s="61" t="s">
        <v>6</v>
      </c>
      <c r="E14" s="64" t="s">
        <v>127</v>
      </c>
      <c r="F14" s="64">
        <v>1</v>
      </c>
      <c r="G14" s="64">
        <f t="shared" ref="G14:AD14" si="3">IF($B$9&gt;F14,F14+1,"")</f>
        <v>2</v>
      </c>
      <c r="H14" s="64">
        <f t="shared" si="3"/>
        <v>3</v>
      </c>
      <c r="I14" s="64">
        <f t="shared" si="3"/>
        <v>4</v>
      </c>
      <c r="J14" s="64">
        <f t="shared" si="3"/>
        <v>5</v>
      </c>
      <c r="K14" s="64">
        <f>IF($B$9&gt;J14,J14+1,"")</f>
        <v>6</v>
      </c>
      <c r="L14" s="64">
        <f>IF($B$9&gt;K14,K14+1,"")</f>
        <v>7</v>
      </c>
      <c r="M14" s="64" t="str">
        <f>IF($B$9&gt;L14,L14+1,"")</f>
        <v/>
      </c>
      <c r="N14" s="64" t="str">
        <f>IF($B$9&gt;M14,M14+1,"")</f>
        <v/>
      </c>
      <c r="O14" s="64" t="str">
        <f>IF($B$9&gt;N14,N14+1,"")</f>
        <v/>
      </c>
      <c r="P14" s="64" t="str">
        <f t="shared" si="3"/>
        <v/>
      </c>
      <c r="Q14" s="64" t="str">
        <f t="shared" si="3"/>
        <v/>
      </c>
      <c r="R14" s="64" t="str">
        <f t="shared" si="3"/>
        <v/>
      </c>
      <c r="S14" s="64" t="str">
        <f t="shared" si="3"/>
        <v/>
      </c>
      <c r="T14" s="64" t="str">
        <f t="shared" si="3"/>
        <v/>
      </c>
      <c r="U14" s="64" t="str">
        <f t="shared" si="3"/>
        <v/>
      </c>
      <c r="V14" s="64" t="str">
        <f>IF($B$9&gt;U14,U14+1,"")</f>
        <v/>
      </c>
      <c r="W14" s="64" t="str">
        <f>IF($B$9&gt;V14,V14+1,"")</f>
        <v/>
      </c>
      <c r="X14" s="64" t="str">
        <f t="shared" si="3"/>
        <v/>
      </c>
      <c r="Y14" s="64" t="str">
        <f t="shared" si="3"/>
        <v/>
      </c>
      <c r="Z14" s="64" t="str">
        <f t="shared" si="3"/>
        <v/>
      </c>
      <c r="AA14" s="64" t="str">
        <f t="shared" si="3"/>
        <v/>
      </c>
      <c r="AB14" s="64" t="str">
        <f t="shared" si="3"/>
        <v/>
      </c>
      <c r="AC14" s="64" t="str">
        <f t="shared" si="3"/>
        <v/>
      </c>
      <c r="AD14" s="64" t="str">
        <f t="shared" si="3"/>
        <v/>
      </c>
    </row>
    <row r="15" spans="1:30">
      <c r="A15" s="61"/>
      <c r="B15" s="64"/>
      <c r="C15" s="61"/>
      <c r="D15" s="61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</row>
    <row r="16" spans="1:30">
      <c r="A16" t="s">
        <v>128</v>
      </c>
      <c r="B16" s="2">
        <v>1.1000000000000001</v>
      </c>
      <c r="C16" t="s">
        <v>129</v>
      </c>
      <c r="D16" t="s">
        <v>36</v>
      </c>
      <c r="E16" s="2">
        <v>1</v>
      </c>
      <c r="F16" s="2">
        <v>1</v>
      </c>
      <c r="G16" s="2">
        <v>4</v>
      </c>
      <c r="H16" s="2">
        <v>0</v>
      </c>
      <c r="I16" s="2">
        <v>0</v>
      </c>
      <c r="J16" s="28">
        <v>0</v>
      </c>
      <c r="K16" s="28">
        <v>0</v>
      </c>
      <c r="L16" s="28">
        <v>0</v>
      </c>
    </row>
    <row r="17" spans="1:30">
      <c r="A17" t="s">
        <v>130</v>
      </c>
      <c r="B17" s="2">
        <v>1.2</v>
      </c>
      <c r="C17" t="s">
        <v>20</v>
      </c>
      <c r="D17" t="s">
        <v>36</v>
      </c>
      <c r="E17" s="2">
        <v>1</v>
      </c>
      <c r="F17" s="2">
        <v>1</v>
      </c>
      <c r="G17" s="2">
        <v>1</v>
      </c>
      <c r="H17" s="2">
        <v>1</v>
      </c>
      <c r="I17" s="2">
        <v>0</v>
      </c>
      <c r="J17" s="28">
        <v>0</v>
      </c>
      <c r="K17" s="28">
        <v>0</v>
      </c>
      <c r="L17" s="28">
        <v>0</v>
      </c>
    </row>
    <row r="18" spans="1:30">
      <c r="A18" t="s">
        <v>131</v>
      </c>
      <c r="B18" s="2">
        <v>1.2</v>
      </c>
      <c r="C18" t="s">
        <v>132</v>
      </c>
      <c r="D18" t="s">
        <v>36</v>
      </c>
      <c r="E18" s="2">
        <v>2</v>
      </c>
      <c r="F18" s="2">
        <v>2</v>
      </c>
      <c r="G18" s="2">
        <v>2</v>
      </c>
      <c r="H18" s="2">
        <v>2</v>
      </c>
      <c r="I18" s="2">
        <v>0</v>
      </c>
      <c r="J18" s="28">
        <v>0</v>
      </c>
      <c r="K18" s="28">
        <v>0</v>
      </c>
      <c r="L18" s="28">
        <v>0</v>
      </c>
      <c r="AC18" s="28" t="str">
        <f t="shared" ref="AC18:AD36" si="4">IF(OR(AC$14="",$E18=""),"",AB18)</f>
        <v/>
      </c>
      <c r="AD18" s="28" t="str">
        <f t="shared" si="4"/>
        <v/>
      </c>
    </row>
    <row r="19" spans="1:30">
      <c r="A19" t="s">
        <v>133</v>
      </c>
      <c r="B19" s="2">
        <v>1.2</v>
      </c>
      <c r="C19" t="s">
        <v>22</v>
      </c>
      <c r="D19" t="s">
        <v>39</v>
      </c>
      <c r="E19" s="2">
        <v>2</v>
      </c>
      <c r="F19" s="2">
        <v>2</v>
      </c>
      <c r="G19" s="2">
        <v>2</v>
      </c>
      <c r="H19" s="2">
        <v>2</v>
      </c>
      <c r="I19" s="2">
        <v>2</v>
      </c>
      <c r="J19" s="28">
        <v>2</v>
      </c>
    </row>
    <row r="20" spans="1:30">
      <c r="A20" t="s">
        <v>134</v>
      </c>
      <c r="B20" s="2">
        <v>1.2</v>
      </c>
      <c r="C20" t="s">
        <v>135</v>
      </c>
      <c r="D20" t="s">
        <v>36</v>
      </c>
      <c r="E20" s="2">
        <v>2</v>
      </c>
      <c r="F20" s="2">
        <v>2</v>
      </c>
      <c r="G20" s="2">
        <v>2</v>
      </c>
      <c r="H20" s="2">
        <v>2</v>
      </c>
      <c r="I20" s="2">
        <v>0</v>
      </c>
      <c r="J20" s="2">
        <v>0</v>
      </c>
      <c r="K20" s="28">
        <v>0</v>
      </c>
      <c r="L20" s="28">
        <v>0</v>
      </c>
      <c r="AC20" s="28" t="str">
        <f t="shared" si="4"/>
        <v/>
      </c>
      <c r="AD20" s="28" t="str">
        <f t="shared" si="4"/>
        <v/>
      </c>
    </row>
    <row r="21" spans="1:30">
      <c r="A21" t="s">
        <v>136</v>
      </c>
      <c r="B21" s="2">
        <v>1.2</v>
      </c>
      <c r="C21"/>
      <c r="D21" t="s">
        <v>39</v>
      </c>
      <c r="E21" s="2">
        <v>1</v>
      </c>
      <c r="F21" s="2">
        <v>1</v>
      </c>
      <c r="G21" s="2">
        <v>1</v>
      </c>
      <c r="H21" s="2">
        <v>1</v>
      </c>
      <c r="I21" s="2">
        <v>1</v>
      </c>
      <c r="J21" s="28">
        <v>1</v>
      </c>
    </row>
    <row r="22" spans="1:30">
      <c r="A22" t="s">
        <v>137</v>
      </c>
      <c r="B22" s="2">
        <v>1.2</v>
      </c>
      <c r="C22" t="s">
        <v>20</v>
      </c>
      <c r="D22" t="s">
        <v>36</v>
      </c>
      <c r="E22" s="2">
        <v>2</v>
      </c>
      <c r="F22" s="2">
        <v>2</v>
      </c>
      <c r="G22" s="2">
        <v>2</v>
      </c>
      <c r="H22" s="2">
        <v>2</v>
      </c>
      <c r="I22" s="2">
        <v>0</v>
      </c>
      <c r="J22" s="28">
        <v>0</v>
      </c>
      <c r="K22" s="28">
        <v>0</v>
      </c>
      <c r="L22" s="28">
        <v>0</v>
      </c>
    </row>
    <row r="23" spans="1:30">
      <c r="A23" t="s">
        <v>138</v>
      </c>
      <c r="B23" s="2">
        <v>2.1</v>
      </c>
      <c r="C23" t="s">
        <v>22</v>
      </c>
      <c r="D23" t="s">
        <v>36</v>
      </c>
      <c r="E23" s="2">
        <v>2</v>
      </c>
      <c r="F23" s="2">
        <v>2</v>
      </c>
      <c r="G23" s="2">
        <v>2</v>
      </c>
      <c r="H23" s="2">
        <v>2</v>
      </c>
      <c r="I23" s="2">
        <v>0</v>
      </c>
      <c r="J23" s="28">
        <v>0</v>
      </c>
      <c r="K23" s="28">
        <v>0</v>
      </c>
      <c r="L23" s="28">
        <v>0</v>
      </c>
    </row>
    <row r="24" spans="1:30">
      <c r="A24" t="s">
        <v>139</v>
      </c>
      <c r="B24" s="2">
        <v>2.1</v>
      </c>
      <c r="C24" t="s">
        <v>24</v>
      </c>
      <c r="D24" t="s">
        <v>36</v>
      </c>
      <c r="E24" s="2">
        <v>1</v>
      </c>
      <c r="F24" s="2">
        <v>1</v>
      </c>
      <c r="G24" s="2">
        <v>1</v>
      </c>
      <c r="H24" s="2">
        <v>1</v>
      </c>
      <c r="I24" s="2">
        <v>0</v>
      </c>
      <c r="J24" s="28">
        <v>0</v>
      </c>
      <c r="K24" s="28">
        <v>0</v>
      </c>
      <c r="L24" s="28">
        <v>0</v>
      </c>
      <c r="AC24" s="28" t="str">
        <f t="shared" si="4"/>
        <v/>
      </c>
      <c r="AD24" s="28" t="str">
        <f t="shared" si="4"/>
        <v/>
      </c>
    </row>
    <row r="25" spans="1:30" ht="15" customHeight="1">
      <c r="A25" t="s">
        <v>140</v>
      </c>
      <c r="B25" s="2">
        <v>2.1</v>
      </c>
      <c r="C25"/>
      <c r="D25" t="s">
        <v>36</v>
      </c>
      <c r="E25" s="2">
        <v>2</v>
      </c>
      <c r="F25" s="2">
        <v>2</v>
      </c>
      <c r="G25" s="2">
        <v>2</v>
      </c>
      <c r="H25" s="2">
        <v>2</v>
      </c>
      <c r="I25" s="2">
        <v>0</v>
      </c>
      <c r="J25" s="28">
        <v>0</v>
      </c>
      <c r="K25" s="28">
        <v>0</v>
      </c>
      <c r="L25" s="28">
        <v>0</v>
      </c>
      <c r="AC25" s="28" t="str">
        <f t="shared" si="4"/>
        <v/>
      </c>
      <c r="AD25" s="28" t="str">
        <f t="shared" si="4"/>
        <v/>
      </c>
    </row>
    <row r="26" spans="1:30">
      <c r="A26" t="s">
        <v>141</v>
      </c>
      <c r="B26" s="2">
        <v>2.1</v>
      </c>
      <c r="C26"/>
      <c r="D26" t="s">
        <v>36</v>
      </c>
      <c r="E26" s="2">
        <v>1</v>
      </c>
      <c r="F26" s="2">
        <f>IF(OR(F$14="",$E26=""),"",E26)</f>
        <v>1</v>
      </c>
      <c r="G26" s="2">
        <v>1</v>
      </c>
      <c r="H26" s="2">
        <v>1</v>
      </c>
      <c r="I26" s="2">
        <v>0</v>
      </c>
      <c r="J26" s="28">
        <v>0</v>
      </c>
      <c r="K26" s="28">
        <v>0</v>
      </c>
      <c r="L26" s="28">
        <v>0</v>
      </c>
      <c r="AC26" s="28" t="str">
        <f t="shared" si="4"/>
        <v/>
      </c>
      <c r="AD26" s="28" t="str">
        <f t="shared" si="4"/>
        <v/>
      </c>
    </row>
    <row r="27" spans="1:30">
      <c r="A27" t="s">
        <v>142</v>
      </c>
      <c r="B27" s="2">
        <v>2.1</v>
      </c>
      <c r="C27"/>
      <c r="D27" t="s">
        <v>36</v>
      </c>
      <c r="E27" s="2">
        <v>1</v>
      </c>
      <c r="F27" s="2">
        <f t="shared" ref="F27" si="5">IF(OR(F$14="",$E27=""),"",E27)</f>
        <v>1</v>
      </c>
      <c r="G27" s="2">
        <f t="shared" ref="G27:G29" si="6">IF(OR(G$14="",$E27=""),"",F27)</f>
        <v>1</v>
      </c>
      <c r="H27" s="2">
        <f t="shared" ref="H27:H29" si="7">IF(OR(H$14="",$E27=""),"",G27)</f>
        <v>1</v>
      </c>
      <c r="I27" s="2">
        <v>0</v>
      </c>
      <c r="J27" s="28">
        <v>0</v>
      </c>
      <c r="K27" s="28">
        <v>0</v>
      </c>
      <c r="L27" s="28">
        <v>0</v>
      </c>
    </row>
    <row r="28" spans="1:30">
      <c r="A28" t="s">
        <v>143</v>
      </c>
      <c r="B28" s="2">
        <v>2.2000000000000002</v>
      </c>
      <c r="C28"/>
      <c r="D28" t="s">
        <v>36</v>
      </c>
      <c r="E28" s="2">
        <v>1</v>
      </c>
      <c r="F28" s="2">
        <f>IF(OR(F$14="",$E28=""),"",E28)</f>
        <v>1</v>
      </c>
      <c r="G28" s="2">
        <f t="shared" si="6"/>
        <v>1</v>
      </c>
      <c r="H28" s="2">
        <f t="shared" si="7"/>
        <v>1</v>
      </c>
      <c r="I28" s="2">
        <v>0</v>
      </c>
      <c r="J28" s="2">
        <f>IF(OR(J$14="",$E28=""),"",I28)</f>
        <v>0</v>
      </c>
      <c r="K28" s="28">
        <v>0</v>
      </c>
      <c r="L28" s="28">
        <v>0</v>
      </c>
    </row>
    <row r="29" spans="1:30">
      <c r="A29" t="s">
        <v>144</v>
      </c>
      <c r="B29" s="2">
        <v>2.2000000000000002</v>
      </c>
      <c r="C29" t="s">
        <v>24</v>
      </c>
      <c r="D29" t="s">
        <v>36</v>
      </c>
      <c r="E29" s="2">
        <v>4</v>
      </c>
      <c r="F29" s="2">
        <f>IF(OR(F$14="",$E29=""),"",E29)</f>
        <v>4</v>
      </c>
      <c r="G29" s="2">
        <f t="shared" si="6"/>
        <v>4</v>
      </c>
      <c r="H29" s="2">
        <f t="shared" si="7"/>
        <v>4</v>
      </c>
      <c r="I29" s="2">
        <f t="shared" ref="I29" si="8">IF(OR(I$14="",$E29=""),"",H29)</f>
        <v>4</v>
      </c>
      <c r="J29" s="2">
        <f t="shared" ref="J29" si="9">IF(OR(J$14="",$E29=""),"",I29)</f>
        <v>4</v>
      </c>
      <c r="K29" s="28">
        <v>0</v>
      </c>
      <c r="L29" s="28">
        <v>0</v>
      </c>
      <c r="AC29" s="28" t="str">
        <f t="shared" si="4"/>
        <v/>
      </c>
      <c r="AD29" s="28" t="str">
        <f t="shared" si="4"/>
        <v/>
      </c>
    </row>
    <row r="30" spans="1:30">
      <c r="A30" t="s">
        <v>145</v>
      </c>
      <c r="B30" s="2">
        <v>2.2000000000000002</v>
      </c>
      <c r="C30" t="s">
        <v>24</v>
      </c>
      <c r="D30" t="s">
        <v>49</v>
      </c>
      <c r="E30" s="2">
        <v>1</v>
      </c>
      <c r="F30" s="2">
        <v>1</v>
      </c>
      <c r="G30" s="2">
        <v>1</v>
      </c>
      <c r="H30" s="2">
        <v>1</v>
      </c>
      <c r="I30" s="2">
        <v>1</v>
      </c>
      <c r="J30" s="28">
        <v>1</v>
      </c>
      <c r="K30" s="28">
        <v>1</v>
      </c>
      <c r="AC30" s="28" t="str">
        <f t="shared" si="4"/>
        <v/>
      </c>
      <c r="AD30" s="28" t="str">
        <f t="shared" si="4"/>
        <v/>
      </c>
    </row>
    <row r="31" spans="1:30">
      <c r="A31" t="s">
        <v>146</v>
      </c>
      <c r="B31" s="2"/>
      <c r="C31" t="s">
        <v>21</v>
      </c>
      <c r="D31" t="s">
        <v>36</v>
      </c>
      <c r="E31" s="2">
        <v>2</v>
      </c>
      <c r="F31" s="2">
        <v>2</v>
      </c>
      <c r="G31" s="2">
        <v>2</v>
      </c>
      <c r="H31" s="2">
        <v>2</v>
      </c>
      <c r="I31" s="2">
        <v>2</v>
      </c>
      <c r="J31" s="28">
        <v>0</v>
      </c>
      <c r="K31" s="28">
        <v>0</v>
      </c>
      <c r="L31" s="28">
        <v>0</v>
      </c>
      <c r="AC31" s="28" t="str">
        <f t="shared" si="4"/>
        <v/>
      </c>
      <c r="AD31" s="28" t="str">
        <f t="shared" si="4"/>
        <v/>
      </c>
    </row>
    <row r="32" spans="1:30">
      <c r="A32" t="s">
        <v>147</v>
      </c>
      <c r="B32" s="2">
        <v>6</v>
      </c>
      <c r="C32" t="s">
        <v>21</v>
      </c>
      <c r="D32" t="s">
        <v>39</v>
      </c>
      <c r="E32" s="2">
        <v>4</v>
      </c>
      <c r="F32" s="2">
        <v>4</v>
      </c>
      <c r="G32" s="2">
        <v>4</v>
      </c>
      <c r="H32" s="2">
        <v>4</v>
      </c>
      <c r="I32" s="2">
        <v>4</v>
      </c>
      <c r="J32" s="28">
        <v>4</v>
      </c>
      <c r="K32" s="28">
        <v>6</v>
      </c>
      <c r="L32" s="28">
        <v>2</v>
      </c>
      <c r="AC32" s="28" t="str">
        <f t="shared" si="4"/>
        <v/>
      </c>
      <c r="AD32" s="28" t="str">
        <f t="shared" si="4"/>
        <v/>
      </c>
    </row>
    <row r="33" spans="1:30">
      <c r="A33" t="s">
        <v>148</v>
      </c>
      <c r="B33" s="2"/>
      <c r="C33"/>
      <c r="D33" t="s">
        <v>49</v>
      </c>
      <c r="E33" s="2"/>
      <c r="F33" s="2"/>
      <c r="G33" s="2"/>
      <c r="H33" s="2"/>
      <c r="I33" s="2"/>
      <c r="AC33" s="28" t="str">
        <f t="shared" si="4"/>
        <v/>
      </c>
      <c r="AD33" s="28" t="str">
        <f t="shared" si="4"/>
        <v/>
      </c>
    </row>
    <row r="34" spans="1:30">
      <c r="A34" t="s">
        <v>149</v>
      </c>
      <c r="B34" s="2">
        <v>0</v>
      </c>
      <c r="C34" t="s">
        <v>24</v>
      </c>
      <c r="D34" t="s">
        <v>39</v>
      </c>
      <c r="E34" s="2">
        <v>7</v>
      </c>
      <c r="F34" s="2">
        <v>6</v>
      </c>
      <c r="G34" s="2">
        <v>5</v>
      </c>
      <c r="H34" s="2">
        <v>4</v>
      </c>
      <c r="I34" s="2">
        <v>3</v>
      </c>
      <c r="J34" s="28">
        <v>2</v>
      </c>
      <c r="K34" s="28">
        <v>1</v>
      </c>
      <c r="AC34" s="28" t="str">
        <f t="shared" si="4"/>
        <v/>
      </c>
      <c r="AD34" s="28" t="str">
        <f t="shared" si="4"/>
        <v/>
      </c>
    </row>
    <row r="35" spans="1:30">
      <c r="A35" t="s">
        <v>150</v>
      </c>
      <c r="B35" s="2">
        <v>0</v>
      </c>
      <c r="C35" t="s">
        <v>20</v>
      </c>
      <c r="D35" t="s">
        <v>49</v>
      </c>
      <c r="E35" s="2"/>
      <c r="F35" s="2"/>
      <c r="G35" s="2"/>
      <c r="H35" s="2"/>
      <c r="I35" s="2"/>
      <c r="AC35" s="28" t="str">
        <f t="shared" si="4"/>
        <v/>
      </c>
      <c r="AD35" s="28" t="str">
        <f t="shared" si="4"/>
        <v/>
      </c>
    </row>
    <row r="36" spans="1:30">
      <c r="A36" t="s">
        <v>151</v>
      </c>
      <c r="B36" s="2">
        <v>0</v>
      </c>
      <c r="C36"/>
      <c r="D36" t="s">
        <v>49</v>
      </c>
      <c r="E36" s="2">
        <v>1</v>
      </c>
      <c r="F36" s="2">
        <v>1</v>
      </c>
      <c r="G36" s="2">
        <v>1</v>
      </c>
      <c r="H36" s="2">
        <v>1</v>
      </c>
      <c r="I36" s="2">
        <v>1</v>
      </c>
      <c r="J36" s="28">
        <v>1</v>
      </c>
      <c r="AC36" s="28" t="str">
        <f t="shared" si="4"/>
        <v/>
      </c>
      <c r="AD36" s="28" t="str">
        <f t="shared" si="4"/>
        <v/>
      </c>
    </row>
    <row r="37" spans="1:30">
      <c r="A37" t="s">
        <v>152</v>
      </c>
      <c r="B37" s="2">
        <v>0</v>
      </c>
      <c r="C37" t="s">
        <v>22</v>
      </c>
      <c r="D37" t="s">
        <v>36</v>
      </c>
      <c r="E37" s="2">
        <v>1</v>
      </c>
      <c r="F37" s="2">
        <v>1</v>
      </c>
      <c r="G37" s="2">
        <v>1</v>
      </c>
      <c r="H37" s="2">
        <v>1</v>
      </c>
      <c r="I37" s="2">
        <v>1</v>
      </c>
      <c r="J37" s="28">
        <v>1</v>
      </c>
      <c r="K37" s="28">
        <v>1</v>
      </c>
      <c r="L37" s="28">
        <v>0</v>
      </c>
      <c r="AC37" s="28" t="str">
        <f t="shared" ref="AC37:AD37" si="10">IF(OR(AC$14="",$E37=""),"",AB37)</f>
        <v/>
      </c>
      <c r="AD37" s="28" t="str">
        <f t="shared" si="10"/>
        <v/>
      </c>
    </row>
    <row r="38" spans="1:30">
      <c r="A38" t="s">
        <v>153</v>
      </c>
      <c r="B38" s="2">
        <v>0</v>
      </c>
      <c r="C38" t="s">
        <v>20</v>
      </c>
      <c r="D38" t="s">
        <v>36</v>
      </c>
      <c r="E38" s="2">
        <v>1</v>
      </c>
      <c r="F38" s="2">
        <v>1</v>
      </c>
      <c r="G38" s="2">
        <v>1</v>
      </c>
      <c r="H38" s="2">
        <v>1</v>
      </c>
      <c r="I38" s="2">
        <v>1</v>
      </c>
      <c r="J38" s="28">
        <v>1</v>
      </c>
      <c r="K38" s="28">
        <v>1</v>
      </c>
      <c r="L38" s="28">
        <v>0</v>
      </c>
      <c r="AC38" s="28" t="str">
        <f>IF(OR(AC$14="",$E38=""),"",AB38)</f>
        <v/>
      </c>
      <c r="AD38" s="28" t="str">
        <f>IF(OR(AD$14="",$E38=""),"",AC38)</f>
        <v/>
      </c>
    </row>
    <row r="39" spans="1:30">
      <c r="A39" t="s">
        <v>154</v>
      </c>
      <c r="B39" s="2">
        <v>0</v>
      </c>
      <c r="C39" t="s">
        <v>23</v>
      </c>
      <c r="D39" t="s">
        <v>36</v>
      </c>
      <c r="E39" s="2">
        <v>1</v>
      </c>
      <c r="F39" s="2">
        <v>1</v>
      </c>
      <c r="G39" s="2">
        <v>1</v>
      </c>
      <c r="H39" s="2">
        <v>1</v>
      </c>
      <c r="I39" s="2">
        <v>1</v>
      </c>
      <c r="J39" s="28">
        <v>1</v>
      </c>
      <c r="K39" s="28">
        <v>1</v>
      </c>
      <c r="L39" s="28">
        <v>0</v>
      </c>
      <c r="AC39" s="28" t="str">
        <f>IF(OR(AC$14="",$E40=""),"",AB39)</f>
        <v/>
      </c>
      <c r="AD39" s="28" t="str">
        <f>IF(OR(AD$14="",$E40=""),"",AC39)</f>
        <v/>
      </c>
    </row>
    <row r="40" spans="1:30">
      <c r="A40" t="s">
        <v>155</v>
      </c>
      <c r="B40" s="2">
        <v>0</v>
      </c>
      <c r="C40" t="s">
        <v>21</v>
      </c>
      <c r="D40" t="s">
        <v>36</v>
      </c>
      <c r="E40" s="2">
        <v>1</v>
      </c>
      <c r="F40" s="2">
        <v>1</v>
      </c>
      <c r="G40" s="2">
        <v>1</v>
      </c>
      <c r="H40" s="2">
        <v>1</v>
      </c>
      <c r="I40" s="2">
        <v>1</v>
      </c>
      <c r="J40" s="28">
        <v>1</v>
      </c>
      <c r="K40" s="28">
        <v>1</v>
      </c>
      <c r="L40" s="28">
        <v>0</v>
      </c>
      <c r="AC40" s="28" t="str">
        <f>IF(OR(AC$14="",$E41=""),"",AB40)</f>
        <v/>
      </c>
      <c r="AD40" s="28" t="str">
        <f>IF(OR(AD$14="",$E41=""),"",AC40)</f>
        <v/>
      </c>
    </row>
    <row r="41" spans="1:30">
      <c r="A41" s="26" t="s">
        <v>156</v>
      </c>
      <c r="C41"/>
      <c r="D41" s="29" t="s">
        <v>49</v>
      </c>
      <c r="E41" s="28">
        <v>1</v>
      </c>
      <c r="F41" s="28">
        <v>1</v>
      </c>
      <c r="G41" s="28">
        <v>1</v>
      </c>
      <c r="H41" s="28">
        <v>1</v>
      </c>
      <c r="I41" s="28">
        <v>1</v>
      </c>
      <c r="J41" s="28">
        <v>1</v>
      </c>
      <c r="AC41" s="28" t="str">
        <f>IF(OR(AC$14="",$E42=""),"",AB41)</f>
        <v/>
      </c>
      <c r="AD41" s="28" t="str">
        <f>IF(OR(AD$14="",$E42=""),"",AC41)</f>
        <v/>
      </c>
    </row>
    <row r="42" spans="1:30">
      <c r="A42" s="26" t="s">
        <v>157</v>
      </c>
      <c r="C42"/>
      <c r="D42" s="29" t="str">
        <f t="shared" ref="D42:D65" si="11">IF(A42&lt;&gt;"","Planned","")</f>
        <v>Planned</v>
      </c>
      <c r="E42" s="28">
        <v>1</v>
      </c>
      <c r="F42" s="28">
        <v>1</v>
      </c>
      <c r="G42" s="28">
        <v>1</v>
      </c>
      <c r="H42" s="28">
        <v>1</v>
      </c>
      <c r="I42" s="28">
        <v>1</v>
      </c>
      <c r="J42" s="28">
        <v>1</v>
      </c>
      <c r="AC42" s="28" t="str">
        <f>IF(OR(AC$14="",$E43=""),"",AB42)</f>
        <v/>
      </c>
      <c r="AD42" s="28" t="str">
        <f>IF(OR(AD$14="",$E43=""),"",AC42)</f>
        <v/>
      </c>
    </row>
    <row r="43" spans="1:30">
      <c r="A43" s="29" t="s">
        <v>158</v>
      </c>
      <c r="C43" t="s">
        <v>24</v>
      </c>
      <c r="D43" s="29" t="str">
        <f t="shared" si="11"/>
        <v>Planned</v>
      </c>
      <c r="E43" s="28">
        <v>1</v>
      </c>
      <c r="F43" s="28">
        <v>1</v>
      </c>
      <c r="G43" s="28">
        <v>1</v>
      </c>
      <c r="H43" s="28">
        <v>1</v>
      </c>
      <c r="I43" s="28">
        <v>1</v>
      </c>
      <c r="J43" s="28">
        <v>1</v>
      </c>
      <c r="AC43" s="28" t="str">
        <f>IF(OR(AC$14="",$E44=""),"",AB43)</f>
        <v/>
      </c>
      <c r="AD43" s="28" t="str">
        <f>IF(OR(AD$14="",$E44=""),"",AC43)</f>
        <v/>
      </c>
    </row>
    <row r="44" spans="1:30">
      <c r="C44"/>
      <c r="D44" s="29" t="str">
        <f t="shared" si="11"/>
        <v/>
      </c>
      <c r="F44" s="28" t="str">
        <f t="shared" ref="F44:F64" si="12">IF(OR(F$14="",$E44=""),"",E44)</f>
        <v/>
      </c>
      <c r="AC44" s="28" t="str">
        <f>IF(OR(AC$14="",$E45=""),"",AB44)</f>
        <v/>
      </c>
      <c r="AD44" s="28" t="str">
        <f>IF(OR(AD$14="",$E45=""),"",AC44)</f>
        <v/>
      </c>
    </row>
    <row r="45" spans="1:30">
      <c r="C45"/>
      <c r="D45" s="29" t="str">
        <f t="shared" si="11"/>
        <v/>
      </c>
      <c r="F45" s="28" t="str">
        <f t="shared" si="12"/>
        <v/>
      </c>
      <c r="AC45" s="28" t="str">
        <f>IF(OR(AC$14="",$E46=""),"",AB45)</f>
        <v/>
      </c>
      <c r="AD45" s="28" t="str">
        <f>IF(OR(AD$14="",$E46=""),"",AC45)</f>
        <v/>
      </c>
    </row>
    <row r="46" spans="1:30">
      <c r="C46"/>
      <c r="D46" s="29" t="str">
        <f t="shared" si="11"/>
        <v/>
      </c>
      <c r="F46" s="28" t="str">
        <f t="shared" si="12"/>
        <v/>
      </c>
      <c r="AC46" s="28" t="str">
        <f>IF(OR(AC$14="",$E47=""),"",AB46)</f>
        <v/>
      </c>
      <c r="AD46" s="28" t="str">
        <f>IF(OR(AD$14="",$E47=""),"",AC46)</f>
        <v/>
      </c>
    </row>
    <row r="47" spans="1:30">
      <c r="C47"/>
      <c r="D47" s="29" t="str">
        <f t="shared" si="11"/>
        <v/>
      </c>
      <c r="F47" s="28" t="str">
        <f t="shared" si="12"/>
        <v/>
      </c>
      <c r="AC47" s="28" t="str">
        <f>IF(OR(AC$14="",$E48=""),"",AB47)</f>
        <v/>
      </c>
      <c r="AD47" s="28" t="str">
        <f>IF(OR(AD$14="",$E48=""),"",AC47)</f>
        <v/>
      </c>
    </row>
    <row r="48" spans="1:30">
      <c r="C48"/>
      <c r="D48" s="29" t="str">
        <f t="shared" si="11"/>
        <v/>
      </c>
      <c r="F48" s="28" t="str">
        <f t="shared" si="12"/>
        <v/>
      </c>
      <c r="AC48" s="28" t="str">
        <f>IF(OR(AC$14="",$E49=""),"",AB48)</f>
        <v/>
      </c>
      <c r="AD48" s="28" t="str">
        <f>IF(OR(AD$14="",$E49=""),"",AC48)</f>
        <v/>
      </c>
    </row>
    <row r="49" spans="3:30">
      <c r="C49"/>
      <c r="D49" s="29" t="str">
        <f t="shared" si="11"/>
        <v/>
      </c>
      <c r="F49" s="28" t="str">
        <f t="shared" si="12"/>
        <v/>
      </c>
      <c r="AC49" s="28" t="str">
        <f>IF(OR(AC$14="",$E50=""),"",AB49)</f>
        <v/>
      </c>
      <c r="AD49" s="28" t="str">
        <f>IF(OR(AD$14="",$E50=""),"",AC49)</f>
        <v/>
      </c>
    </row>
    <row r="50" spans="3:30">
      <c r="C50"/>
      <c r="D50" s="29" t="str">
        <f t="shared" si="11"/>
        <v/>
      </c>
      <c r="F50" s="28" t="str">
        <f t="shared" si="12"/>
        <v/>
      </c>
      <c r="AC50" s="28" t="str">
        <f>IF(OR(AC$14="",$E51=""),"",AB50)</f>
        <v/>
      </c>
      <c r="AD50" s="28" t="str">
        <f>IF(OR(AD$14="",$E51=""),"",AC50)</f>
        <v/>
      </c>
    </row>
    <row r="51" spans="3:30">
      <c r="C51"/>
      <c r="D51" s="29" t="str">
        <f t="shared" si="11"/>
        <v/>
      </c>
      <c r="F51" s="28" t="str">
        <f t="shared" si="12"/>
        <v/>
      </c>
      <c r="AC51" s="28" t="str">
        <f>IF(OR(AC$14="",$E52=""),"",AB51)</f>
        <v/>
      </c>
      <c r="AD51" s="28" t="str">
        <f>IF(OR(AD$14="",$E52=""),"",AC51)</f>
        <v/>
      </c>
    </row>
    <row r="52" spans="3:30">
      <c r="C52"/>
      <c r="D52" s="29" t="str">
        <f t="shared" si="11"/>
        <v/>
      </c>
      <c r="F52" s="28" t="str">
        <f t="shared" si="12"/>
        <v/>
      </c>
      <c r="AC52" s="28" t="str">
        <f>IF(OR(AC$14="",$E53=""),"",AB52)</f>
        <v/>
      </c>
      <c r="AD52" s="28" t="str">
        <f>IF(OR(AD$14="",$E53=""),"",AC52)</f>
        <v/>
      </c>
    </row>
    <row r="53" spans="3:30">
      <c r="C53"/>
      <c r="D53" s="29" t="str">
        <f t="shared" si="11"/>
        <v/>
      </c>
      <c r="F53" s="28" t="str">
        <f t="shared" si="12"/>
        <v/>
      </c>
      <c r="AC53" s="28" t="str">
        <f>IF(OR(AC$14="",$E54=""),"",AB53)</f>
        <v/>
      </c>
      <c r="AD53" s="28" t="str">
        <f>IF(OR(AD$14="",$E54=""),"",AC53)</f>
        <v/>
      </c>
    </row>
    <row r="54" spans="3:30">
      <c r="C54"/>
      <c r="D54" s="29" t="str">
        <f t="shared" si="11"/>
        <v/>
      </c>
      <c r="F54" s="28" t="str">
        <f t="shared" si="12"/>
        <v/>
      </c>
      <c r="AC54" s="28" t="str">
        <f>IF(OR(AC$14="",$E55=""),"",AB54)</f>
        <v/>
      </c>
      <c r="AD54" s="28" t="str">
        <f>IF(OR(AD$14="",$E55=""),"",AC54)</f>
        <v/>
      </c>
    </row>
    <row r="55" spans="3:30">
      <c r="C55"/>
      <c r="D55" s="29" t="str">
        <f t="shared" si="11"/>
        <v/>
      </c>
      <c r="F55" s="28" t="str">
        <f t="shared" si="12"/>
        <v/>
      </c>
      <c r="AC55" s="28" t="str">
        <f>IF(OR(AC$14="",$E56=""),"",AB55)</f>
        <v/>
      </c>
      <c r="AD55" s="28" t="str">
        <f>IF(OR(AD$14="",$E56=""),"",AC55)</f>
        <v/>
      </c>
    </row>
    <row r="56" spans="3:30">
      <c r="C56"/>
      <c r="D56" s="29" t="str">
        <f t="shared" si="11"/>
        <v/>
      </c>
      <c r="F56" s="28" t="str">
        <f t="shared" si="12"/>
        <v/>
      </c>
      <c r="AC56" s="28" t="str">
        <f>IF(OR(AC$14="",$E57=""),"",AB56)</f>
        <v/>
      </c>
      <c r="AD56" s="28" t="str">
        <f>IF(OR(AD$14="",$E57=""),"",AC56)</f>
        <v/>
      </c>
    </row>
    <row r="57" spans="3:30">
      <c r="C57"/>
      <c r="D57" s="29" t="str">
        <f t="shared" si="11"/>
        <v/>
      </c>
      <c r="F57" s="28" t="str">
        <f t="shared" si="12"/>
        <v/>
      </c>
      <c r="AC57" s="28" t="str">
        <f>IF(OR(AC$14="",$E58=""),"",AB57)</f>
        <v/>
      </c>
      <c r="AD57" s="28" t="str">
        <f>IF(OR(AD$14="",$E58=""),"",AC57)</f>
        <v/>
      </c>
    </row>
    <row r="58" spans="3:30">
      <c r="C58"/>
      <c r="D58" s="29" t="str">
        <f t="shared" si="11"/>
        <v/>
      </c>
      <c r="F58" s="28" t="str">
        <f t="shared" si="12"/>
        <v/>
      </c>
      <c r="AC58" s="28" t="str">
        <f>IF(OR(AC$14="",$E59=""),"",AB58)</f>
        <v/>
      </c>
      <c r="AD58" s="28" t="str">
        <f>IF(OR(AD$14="",$E59=""),"",AC58)</f>
        <v/>
      </c>
    </row>
    <row r="59" spans="3:30">
      <c r="C59"/>
      <c r="D59" s="29" t="str">
        <f t="shared" si="11"/>
        <v/>
      </c>
      <c r="F59" s="28" t="str">
        <f t="shared" si="12"/>
        <v/>
      </c>
      <c r="AC59" s="28" t="str">
        <f>IF(OR(AC$14="",$E60=""),"",AB59)</f>
        <v/>
      </c>
      <c r="AD59" s="28" t="str">
        <f>IF(OR(AD$14="",$E60=""),"",AC59)</f>
        <v/>
      </c>
    </row>
    <row r="60" spans="3:30">
      <c r="C60"/>
      <c r="D60" s="29" t="str">
        <f t="shared" si="11"/>
        <v/>
      </c>
      <c r="F60" s="28" t="str">
        <f t="shared" si="12"/>
        <v/>
      </c>
      <c r="AC60" s="28" t="str">
        <f>IF(OR(AC$14="",$E61=""),"",AB60)</f>
        <v/>
      </c>
      <c r="AD60" s="28" t="str">
        <f>IF(OR(AD$14="",$E61=""),"",AC60)</f>
        <v/>
      </c>
    </row>
    <row r="61" spans="3:30">
      <c r="C61"/>
      <c r="D61" s="29" t="str">
        <f t="shared" si="11"/>
        <v/>
      </c>
      <c r="F61" s="28" t="str">
        <f t="shared" si="12"/>
        <v/>
      </c>
      <c r="AC61" s="28" t="str">
        <f>IF(OR(AC$14="",$E62=""),"",AB61)</f>
        <v/>
      </c>
      <c r="AD61" s="28" t="str">
        <f>IF(OR(AD$14="",$E62=""),"",AC61)</f>
        <v/>
      </c>
    </row>
    <row r="62" spans="3:30">
      <c r="C62"/>
      <c r="D62" s="29" t="str">
        <f t="shared" si="11"/>
        <v/>
      </c>
      <c r="F62" s="28" t="str">
        <f t="shared" si="12"/>
        <v/>
      </c>
      <c r="K62" s="28" t="str">
        <f>IF(OR(K$14="",$E63=""),"",J63)</f>
        <v/>
      </c>
      <c r="L62" s="28" t="str">
        <f>IF(OR(L$14="",$E63=""),"",K62)</f>
        <v/>
      </c>
      <c r="M62" s="28" t="str">
        <f>IF(OR(M$14="",$E63=""),"",L62)</f>
        <v/>
      </c>
      <c r="N62" s="28" t="str">
        <f>IF(OR(N$14="",$E63=""),"",M62)</f>
        <v/>
      </c>
      <c r="O62" s="28" t="str">
        <f>IF(OR(O$14="",$E63=""),"",N62)</f>
        <v/>
      </c>
      <c r="P62" s="28" t="str">
        <f>IF(OR(P$14="",$E63=""),"",O62)</f>
        <v/>
      </c>
      <c r="Q62" s="28" t="str">
        <f>IF(OR(Q$14="",$E63=""),"",P62)</f>
        <v/>
      </c>
      <c r="R62" s="28" t="str">
        <f>IF(OR(R$14="",$E63=""),"",Q62)</f>
        <v/>
      </c>
      <c r="S62" s="28" t="str">
        <f>IF(OR(S$14="",$E63=""),"",R62)</f>
        <v/>
      </c>
      <c r="T62" s="28" t="str">
        <f>IF(OR(T$14="",$E63=""),"",S62)</f>
        <v/>
      </c>
      <c r="U62" s="28" t="str">
        <f>IF(OR(U$14="",$E63=""),"",T62)</f>
        <v/>
      </c>
      <c r="V62" s="28" t="str">
        <f>IF(OR(V$14="",$E63=""),"",U62)</f>
        <v/>
      </c>
      <c r="W62" s="28" t="str">
        <f>IF(OR(W$14="",$E63=""),"",V62)</f>
        <v/>
      </c>
      <c r="X62" s="28" t="str">
        <f>IF(OR(X$14="",$E63=""),"",W62)</f>
        <v/>
      </c>
      <c r="Y62" s="28" t="str">
        <f>IF(OR(Y$14="",$E63=""),"",X62)</f>
        <v/>
      </c>
      <c r="Z62" s="28" t="str">
        <f>IF(OR(Z$14="",$E63=""),"",Y62)</f>
        <v/>
      </c>
      <c r="AA62" s="28" t="str">
        <f>IF(OR(AA$14="",$E63=""),"",Z62)</f>
        <v/>
      </c>
      <c r="AB62" s="28" t="str">
        <f>IF(OR(AB$14="",$E63=""),"",AA62)</f>
        <v/>
      </c>
      <c r="AC62" s="28" t="str">
        <f>IF(OR(AC$14="",$E63=""),"",AB62)</f>
        <v/>
      </c>
      <c r="AD62" s="28" t="str">
        <f>IF(OR(AD$14="",$E63=""),"",AC62)</f>
        <v/>
      </c>
    </row>
    <row r="63" spans="3:30">
      <c r="C63"/>
      <c r="D63" s="29" t="str">
        <f t="shared" si="11"/>
        <v/>
      </c>
      <c r="F63" s="28" t="str">
        <f t="shared" si="12"/>
        <v/>
      </c>
      <c r="G63" s="28" t="str">
        <f t="shared" ref="G63:J63" si="13">IF(OR(G$14="",$E63=""),"",F63)</f>
        <v/>
      </c>
      <c r="H63" s="28" t="str">
        <f t="shared" si="13"/>
        <v/>
      </c>
      <c r="I63" s="28" t="str">
        <f t="shared" si="13"/>
        <v/>
      </c>
      <c r="J63" s="28" t="str">
        <f t="shared" si="13"/>
        <v/>
      </c>
      <c r="K63" s="28" t="str">
        <f>IF(OR(K$14="",$E64=""),"",J64)</f>
        <v/>
      </c>
      <c r="L63" s="28" t="str">
        <f>IF(OR(L$14="",$E64=""),"",K63)</f>
        <v/>
      </c>
      <c r="M63" s="28" t="str">
        <f>IF(OR(M$14="",$E64=""),"",L63)</f>
        <v/>
      </c>
      <c r="N63" s="28" t="str">
        <f>IF(OR(N$14="",$E64=""),"",M63)</f>
        <v/>
      </c>
      <c r="O63" s="28" t="str">
        <f>IF(OR(O$14="",$E64=""),"",N63)</f>
        <v/>
      </c>
      <c r="P63" s="28" t="str">
        <f>IF(OR(P$14="",$E64=""),"",O63)</f>
        <v/>
      </c>
      <c r="Q63" s="28" t="str">
        <f>IF(OR(Q$14="",$E64=""),"",P63)</f>
        <v/>
      </c>
      <c r="R63" s="28" t="str">
        <f>IF(OR(R$14="",$E64=""),"",Q63)</f>
        <v/>
      </c>
      <c r="S63" s="28" t="str">
        <f>IF(OR(S$14="",$E64=""),"",R63)</f>
        <v/>
      </c>
      <c r="T63" s="28" t="str">
        <f>IF(OR(T$14="",$E64=""),"",S63)</f>
        <v/>
      </c>
      <c r="U63" s="28" t="str">
        <f>IF(OR(U$14="",$E64=""),"",T63)</f>
        <v/>
      </c>
      <c r="V63" s="28" t="str">
        <f>IF(OR(V$14="",$E64=""),"",U63)</f>
        <v/>
      </c>
      <c r="W63" s="28" t="str">
        <f>IF(OR(W$14="",$E64=""),"",V63)</f>
        <v/>
      </c>
      <c r="X63" s="28" t="str">
        <f>IF(OR(X$14="",$E64=""),"",W63)</f>
        <v/>
      </c>
      <c r="Y63" s="28" t="str">
        <f>IF(OR(Y$14="",$E64=""),"",X63)</f>
        <v/>
      </c>
      <c r="Z63" s="28" t="str">
        <f>IF(OR(Z$14="",$E64=""),"",Y63)</f>
        <v/>
      </c>
      <c r="AA63" s="28" t="str">
        <f>IF(OR(AA$14="",$E64=""),"",Z63)</f>
        <v/>
      </c>
      <c r="AB63" s="28" t="str">
        <f>IF(OR(AB$14="",$E64=""),"",AA63)</f>
        <v/>
      </c>
      <c r="AC63" s="28" t="str">
        <f>IF(OR(AC$14="",$E64=""),"",AB63)</f>
        <v/>
      </c>
      <c r="AD63" s="28" t="str">
        <f>IF(OR(AD$14="",$E64=""),"",AC63)</f>
        <v/>
      </c>
    </row>
    <row r="64" spans="3:30">
      <c r="C64"/>
      <c r="D64" s="29" t="str">
        <f t="shared" si="11"/>
        <v/>
      </c>
      <c r="F64" s="28" t="str">
        <f t="shared" si="12"/>
        <v/>
      </c>
      <c r="G64" s="28" t="str">
        <f t="shared" ref="G64:J64" si="14">IF(OR(G$14="",$E64=""),"",F64)</f>
        <v/>
      </c>
      <c r="H64" s="28" t="str">
        <f t="shared" si="14"/>
        <v/>
      </c>
      <c r="I64" s="28" t="str">
        <f t="shared" si="14"/>
        <v/>
      </c>
      <c r="J64" s="28" t="str">
        <f t="shared" si="14"/>
        <v/>
      </c>
    </row>
    <row r="65" spans="3:4">
      <c r="C65"/>
      <c r="D65" s="29" t="str">
        <f t="shared" si="11"/>
        <v/>
      </c>
    </row>
    <row r="66" spans="3:4">
      <c r="C66"/>
    </row>
    <row r="67" spans="3:4">
      <c r="C67"/>
    </row>
    <row r="68" spans="3:4">
      <c r="C68"/>
    </row>
    <row r="69" spans="3:4">
      <c r="C69"/>
    </row>
    <row r="70" spans="3:4">
      <c r="C70"/>
    </row>
    <row r="71" spans="3:4">
      <c r="C71"/>
    </row>
    <row r="72" spans="3:4">
      <c r="C72"/>
    </row>
    <row r="73" spans="3:4">
      <c r="C73"/>
    </row>
    <row r="74" spans="3:4">
      <c r="C74"/>
    </row>
    <row r="75" spans="3:4">
      <c r="C75"/>
    </row>
    <row r="76" spans="3:4">
      <c r="C76"/>
    </row>
    <row r="77" spans="3:4">
      <c r="C77"/>
    </row>
    <row r="78" spans="3:4">
      <c r="C78"/>
    </row>
    <row r="79" spans="3:4">
      <c r="C79"/>
    </row>
    <row r="80" spans="3:4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</sheetData>
  <phoneticPr fontId="2" type="noConversion"/>
  <conditionalFormatting sqref="A16:E17 F16:AD25 A18:C19 B20:C26 E26:AD26 E18:E25 D18:D26 A22:A28 B27:AD28 A29:AD38 A39:J59">
    <cfRule type="expression" dxfId="13" priority="9" stopIfTrue="1">
      <formula>$D16="Done"</formula>
    </cfRule>
    <cfRule type="expression" dxfId="12" priority="10" stopIfTrue="1">
      <formula>$D16="Ongoing"</formula>
    </cfRule>
  </conditionalFormatting>
  <conditionalFormatting sqref="E10">
    <cfRule type="expression" dxfId="11" priority="7" stopIfTrue="1">
      <formula>$D10="Done"</formula>
    </cfRule>
    <cfRule type="expression" dxfId="10" priority="8" stopIfTrue="1">
      <formula>$D10="Ongoing"</formula>
    </cfRule>
  </conditionalFormatting>
  <conditionalFormatting sqref="A20">
    <cfRule type="expression" dxfId="9" priority="3" stopIfTrue="1">
      <formula>$D20="Done"</formula>
    </cfRule>
    <cfRule type="expression" dxfId="8" priority="4" stopIfTrue="1">
      <formula>$D20="Ongoing"</formula>
    </cfRule>
  </conditionalFormatting>
  <conditionalFormatting sqref="A21">
    <cfRule type="expression" dxfId="7" priority="1" stopIfTrue="1">
      <formula>$D21="Done"</formula>
    </cfRule>
    <cfRule type="expression" dxfId="6" priority="2" stopIfTrue="1">
      <formula>$D21="Ongoing"</formula>
    </cfRule>
  </conditionalFormatting>
  <conditionalFormatting sqref="K39:AD58">
    <cfRule type="expression" dxfId="5" priority="32" stopIfTrue="1">
      <formula>$D40="Done"</formula>
    </cfRule>
    <cfRule type="expression" dxfId="4" priority="33" stopIfTrue="1">
      <formula>$D40="Ongoing"</formula>
    </cfRule>
  </conditionalFormatting>
  <dataValidations count="1">
    <dataValidation type="list" allowBlank="1" showInputMessage="1" sqref="D3:D8 E10 D16:D65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B25" activePane="bottomLeft" state="frozen"/>
      <selection pane="bottomLeft" activeCell="B25" sqref="B2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25">
        <v>1</v>
      </c>
      <c r="B1" s="30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>
      <c r="A9" s="16" t="s">
        <v>115</v>
      </c>
      <c r="B9" s="2">
        <v>5</v>
      </c>
      <c r="C9" s="16"/>
      <c r="D9" s="14"/>
      <c r="E9" s="16" t="s">
        <v>116</v>
      </c>
      <c r="F9" s="16" t="s">
        <v>117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>
      <c r="A10" s="16" t="s">
        <v>118</v>
      </c>
      <c r="B10" s="2">
        <v>5</v>
      </c>
      <c r="C10" s="16" t="s">
        <v>3</v>
      </c>
      <c r="D10" s="16" t="s">
        <v>119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>
      <c r="A11" t="s">
        <v>120</v>
      </c>
      <c r="B11" s="2">
        <f>IF(COUNTA(A15:A242)=0,1,COUNTA(A15:A242))</f>
        <v>1</v>
      </c>
      <c r="C11" t="s">
        <v>121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48" t="s">
        <v>122</v>
      </c>
      <c r="B12"/>
      <c r="C12" t="s">
        <v>85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48" t="s">
        <v>123</v>
      </c>
      <c r="B13"/>
      <c r="C13" t="s">
        <v>124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6" t="s">
        <v>125</v>
      </c>
      <c r="B14" s="17" t="s">
        <v>29</v>
      </c>
      <c r="C14" s="16" t="s">
        <v>126</v>
      </c>
      <c r="D14" s="16" t="s">
        <v>6</v>
      </c>
      <c r="E14" s="17" t="s">
        <v>127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4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workbookViewId="0">
      <selection activeCell="A5" sqref="A5"/>
    </sheetView>
  </sheetViews>
  <sheetFormatPr defaultRowHeight="12.75"/>
  <cols>
    <col min="1" max="3" width="9.140625" style="29"/>
    <col min="4" max="4" width="32.7109375" style="29" customWidth="1"/>
    <col min="5" max="5" width="9.140625" style="29"/>
    <col min="6" max="6" width="32.7109375" style="29" customWidth="1"/>
    <col min="7" max="16384" width="9.140625" style="29"/>
  </cols>
  <sheetData>
    <row r="1" spans="1:6">
      <c r="A1" s="74" t="s">
        <v>159</v>
      </c>
      <c r="B1" s="90">
        <v>1</v>
      </c>
      <c r="C1" s="75" t="s">
        <v>160</v>
      </c>
      <c r="D1" s="76" t="s">
        <v>161</v>
      </c>
      <c r="E1" s="76"/>
      <c r="F1" s="77"/>
    </row>
    <row r="2" spans="1:6">
      <c r="A2" s="78" t="s">
        <v>162</v>
      </c>
      <c r="B2" s="72" t="s">
        <v>163</v>
      </c>
      <c r="C2" s="72"/>
      <c r="D2" s="72"/>
      <c r="E2" s="72"/>
      <c r="F2" s="79"/>
    </row>
    <row r="3" spans="1:6">
      <c r="A3" s="80"/>
      <c r="F3" s="81"/>
    </row>
    <row r="4" spans="1:6">
      <c r="A4" s="82"/>
      <c r="B4" s="73"/>
      <c r="C4" s="73"/>
      <c r="D4" s="73"/>
      <c r="E4" s="73"/>
      <c r="F4" s="83"/>
    </row>
    <row r="5" spans="1:6">
      <c r="A5" s="88" t="e">
        <f>CONCATENATE("Responsible Person: ",'Sp1'!#REF!)</f>
        <v>#REF!</v>
      </c>
      <c r="B5" s="71"/>
      <c r="C5" s="71"/>
      <c r="D5" s="71"/>
      <c r="E5" s="71"/>
      <c r="F5" s="89"/>
    </row>
    <row r="6" spans="1:6" ht="26.25" thickBot="1">
      <c r="A6" s="84" t="s">
        <v>164</v>
      </c>
      <c r="B6" s="91">
        <v>5</v>
      </c>
      <c r="C6" s="86" t="s">
        <v>165</v>
      </c>
      <c r="D6" s="85"/>
      <c r="E6" s="86" t="s">
        <v>166</v>
      </c>
      <c r="F6" s="87"/>
    </row>
    <row r="8" spans="1:6" ht="13.5" thickBot="1"/>
    <row r="9" spans="1:6">
      <c r="A9" s="74" t="s">
        <v>159</v>
      </c>
      <c r="B9" s="90">
        <v>1</v>
      </c>
      <c r="C9" s="75" t="s">
        <v>160</v>
      </c>
      <c r="D9" s="76" t="s">
        <v>161</v>
      </c>
      <c r="E9" s="76"/>
      <c r="F9" s="77"/>
    </row>
    <row r="10" spans="1:6">
      <c r="A10" s="78" t="s">
        <v>162</v>
      </c>
      <c r="B10" s="72" t="s">
        <v>167</v>
      </c>
      <c r="C10" s="72"/>
      <c r="D10" s="72"/>
      <c r="E10" s="72"/>
      <c r="F10" s="79"/>
    </row>
    <row r="11" spans="1:6">
      <c r="A11" s="80"/>
      <c r="F11" s="81"/>
    </row>
    <row r="12" spans="1:6">
      <c r="A12" s="82"/>
      <c r="B12" s="73"/>
      <c r="C12" s="73"/>
      <c r="D12" s="73"/>
      <c r="E12" s="73"/>
      <c r="F12" s="83"/>
    </row>
    <row r="13" spans="1:6">
      <c r="A13" s="88" t="str">
        <f>CONCATENATE("Responsible Person: ",'Sp1'!C16)</f>
        <v>Responsible Person: Julia, Berk</v>
      </c>
      <c r="B13" s="71"/>
      <c r="C13" s="71"/>
      <c r="D13" s="71"/>
      <c r="E13" s="71"/>
      <c r="F13" s="89"/>
    </row>
    <row r="14" spans="1:6" ht="26.25" thickBot="1">
      <c r="A14" s="84" t="s">
        <v>164</v>
      </c>
      <c r="B14" s="91">
        <v>7</v>
      </c>
      <c r="C14" s="86" t="s">
        <v>165</v>
      </c>
      <c r="D14" s="85"/>
      <c r="E14" s="86" t="s">
        <v>166</v>
      </c>
      <c r="F14" s="87"/>
    </row>
    <row r="16" spans="1:6" ht="13.5" thickBot="1"/>
    <row r="17" spans="1:6">
      <c r="A17" s="74" t="s">
        <v>159</v>
      </c>
      <c r="B17" s="90">
        <v>2</v>
      </c>
      <c r="C17" s="75" t="s">
        <v>160</v>
      </c>
      <c r="D17" s="76" t="s">
        <v>168</v>
      </c>
      <c r="E17" s="76"/>
      <c r="F17" s="77"/>
    </row>
    <row r="18" spans="1:6">
      <c r="A18" s="78" t="s">
        <v>162</v>
      </c>
      <c r="B18" s="72" t="s">
        <v>169</v>
      </c>
      <c r="C18" s="72"/>
      <c r="D18" s="72"/>
      <c r="E18" s="72"/>
      <c r="F18" s="79"/>
    </row>
    <row r="19" spans="1:6">
      <c r="A19" s="80"/>
      <c r="F19" s="81"/>
    </row>
    <row r="20" spans="1:6">
      <c r="A20" s="82"/>
      <c r="B20" s="73"/>
      <c r="C20" s="73"/>
      <c r="D20" s="73"/>
      <c r="E20" s="73"/>
      <c r="F20" s="83"/>
    </row>
    <row r="21" spans="1:6">
      <c r="A21" s="88" t="str">
        <f>CONCATENATE("Responsible Person: ",'Sp1'!C18)</f>
        <v>Responsible Person: Thorsten, Berk</v>
      </c>
      <c r="B21" s="71"/>
      <c r="C21" s="71"/>
      <c r="D21" s="71"/>
      <c r="E21" s="71"/>
      <c r="F21" s="89"/>
    </row>
    <row r="22" spans="1:6" ht="26.25" thickBot="1">
      <c r="A22" s="84" t="s">
        <v>164</v>
      </c>
      <c r="B22" s="91">
        <v>12</v>
      </c>
      <c r="C22" s="86" t="s">
        <v>165</v>
      </c>
      <c r="D22" s="85"/>
      <c r="E22" s="86" t="s">
        <v>166</v>
      </c>
      <c r="F22" s="87"/>
    </row>
    <row r="24" spans="1:6" ht="13.5" thickBot="1"/>
    <row r="25" spans="1:6">
      <c r="A25" s="74" t="s">
        <v>159</v>
      </c>
      <c r="B25" s="90">
        <v>2</v>
      </c>
      <c r="C25" s="75" t="s">
        <v>160</v>
      </c>
      <c r="D25" s="76" t="s">
        <v>168</v>
      </c>
      <c r="E25" s="76"/>
      <c r="F25" s="77"/>
    </row>
    <row r="26" spans="1:6">
      <c r="A26" s="78" t="s">
        <v>162</v>
      </c>
      <c r="B26" s="72" t="s">
        <v>170</v>
      </c>
      <c r="C26" s="72"/>
      <c r="D26" s="72"/>
      <c r="E26" s="72"/>
      <c r="F26" s="79"/>
    </row>
    <row r="27" spans="1:6">
      <c r="A27" s="80"/>
      <c r="F27" s="81"/>
    </row>
    <row r="28" spans="1:6">
      <c r="A28" s="82"/>
      <c r="B28" s="73"/>
      <c r="C28" s="73"/>
      <c r="D28" s="73"/>
      <c r="E28" s="73"/>
      <c r="F28" s="83"/>
    </row>
    <row r="29" spans="1:6">
      <c r="A29" s="88" t="str">
        <f>CONCATENATE("Responsible Person: ",'Sp1'!C19)</f>
        <v>Responsible Person: Alessia</v>
      </c>
      <c r="B29" s="71"/>
      <c r="C29" s="71"/>
      <c r="D29" s="71"/>
      <c r="E29" s="71"/>
      <c r="F29" s="89"/>
    </row>
    <row r="30" spans="1:6" ht="26.25" thickBot="1">
      <c r="A30" s="84" t="s">
        <v>164</v>
      </c>
      <c r="B30" s="91">
        <v>9</v>
      </c>
      <c r="C30" s="86" t="s">
        <v>165</v>
      </c>
      <c r="D30" s="85"/>
      <c r="E30" s="86" t="s">
        <v>166</v>
      </c>
      <c r="F30" s="8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SysOpen Digia Plc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/>
  <cp:revision>1</cp:revision>
  <dcterms:created xsi:type="dcterms:W3CDTF">1998-06-05T11:20:44Z</dcterms:created>
  <dcterms:modified xsi:type="dcterms:W3CDTF">2022-11-25T12:49:49Z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